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s\06-May-2026\sheet\"/>
    </mc:Choice>
  </mc:AlternateContent>
  <bookViews>
    <workbookView xWindow="0" yWindow="0" windowWidth="19200" windowHeight="6930"/>
  </bookViews>
  <sheets>
    <sheet name="MPN &amp; CPN Breakdown" sheetId="1" r:id="rId1"/>
  </sheets>
  <calcPr calcId="162913"/>
  <extLst>
    <ext uri="GoogleSheetsCustomDataVersion2">
      <go:sheetsCustomData xmlns:go="http://customooxmlschemas.google.com/" r:id="rId5" roundtripDataChecksum="E1JVSe2IqCa+4F4C78io41ec0q17R1qGVhTrZxgqdfQ="/>
    </ext>
  </extLst>
</workbook>
</file>

<file path=xl/calcChain.xml><?xml version="1.0" encoding="utf-8"?>
<calcChain xmlns="http://schemas.openxmlformats.org/spreadsheetml/2006/main">
  <c r="H112" i="1" l="1"/>
  <c r="H111" i="1"/>
  <c r="H107" i="1"/>
  <c r="H106" i="1"/>
  <c r="H105" i="1"/>
  <c r="H104" i="1"/>
  <c r="H100" i="1"/>
  <c r="H99" i="1"/>
  <c r="H98" i="1"/>
  <c r="H97" i="1"/>
  <c r="H93" i="1"/>
  <c r="H92" i="1"/>
  <c r="H91" i="1"/>
  <c r="H86" i="1"/>
  <c r="H85" i="1"/>
  <c r="H81" i="1"/>
  <c r="H80" i="1"/>
  <c r="H79" i="1"/>
  <c r="H78" i="1"/>
  <c r="H74" i="1"/>
  <c r="H73" i="1"/>
  <c r="H72" i="1"/>
  <c r="H71" i="1"/>
  <c r="H67" i="1"/>
  <c r="H66" i="1"/>
  <c r="H65" i="1"/>
  <c r="H61" i="1"/>
  <c r="H60" i="1"/>
  <c r="H56" i="1"/>
  <c r="H55" i="1"/>
  <c r="H54" i="1"/>
  <c r="H53" i="1"/>
  <c r="H49" i="1"/>
  <c r="H48" i="1"/>
  <c r="H47" i="1"/>
  <c r="H46" i="1"/>
  <c r="H42" i="1"/>
  <c r="H41" i="1"/>
  <c r="H40" i="1"/>
  <c r="H35" i="1"/>
  <c r="H34" i="1"/>
  <c r="H30" i="1"/>
  <c r="H29" i="1"/>
  <c r="H28" i="1"/>
  <c r="H27" i="1"/>
  <c r="H23" i="1"/>
  <c r="H22" i="1"/>
  <c r="H21" i="1"/>
  <c r="H20" i="1"/>
  <c r="H16" i="1"/>
  <c r="H15" i="1"/>
  <c r="H14" i="1"/>
  <c r="O9" i="1"/>
  <c r="K9" i="1"/>
  <c r="R9" i="1" s="1"/>
  <c r="J9" i="1"/>
  <c r="O8" i="1"/>
  <c r="K8" i="1"/>
  <c r="R8" i="1" s="1"/>
  <c r="J8" i="1"/>
  <c r="O7" i="1"/>
  <c r="K7" i="1"/>
  <c r="R7" i="1" s="1"/>
  <c r="J7" i="1"/>
  <c r="O6" i="1"/>
  <c r="K6" i="1"/>
  <c r="R6" i="1" s="1"/>
  <c r="J6" i="1"/>
</calcChain>
</file>

<file path=xl/sharedStrings.xml><?xml version="1.0" encoding="utf-8"?>
<sst xmlns="http://schemas.openxmlformats.org/spreadsheetml/2006/main" count="292" uniqueCount="60">
  <si>
    <t>Please consolidate the audience breakdown into one sheet:)</t>
  </si>
  <si>
    <t>Overview</t>
  </si>
  <si>
    <t>Platform</t>
  </si>
  <si>
    <t>Format</t>
  </si>
  <si>
    <t>Audience</t>
  </si>
  <si>
    <t>Reporting Date</t>
  </si>
  <si>
    <t>Start Date</t>
  </si>
  <si>
    <t>End Date</t>
  </si>
  <si>
    <t>Booked Impressions</t>
  </si>
  <si>
    <t>Actual Impressions</t>
  </si>
  <si>
    <t>Campaign Pacing</t>
  </si>
  <si>
    <t>Impression Pacing</t>
  </si>
  <si>
    <t>Reach</t>
  </si>
  <si>
    <t>Frequency</t>
  </si>
  <si>
    <t>Link Click</t>
  </si>
  <si>
    <t>CTR</t>
  </si>
  <si>
    <t>Complete Views</t>
  </si>
  <si>
    <t>VCR</t>
  </si>
  <si>
    <t>Amount Spent</t>
  </si>
  <si>
    <t>Investment</t>
  </si>
  <si>
    <t xml:space="preserve">MPN </t>
  </si>
  <si>
    <t>Banner</t>
  </si>
  <si>
    <t>Vietnamese - Banner - Burst - 1</t>
  </si>
  <si>
    <t>-</t>
  </si>
  <si>
    <t>Punjabi - Banner - Burst - 1</t>
  </si>
  <si>
    <t>Vietnamese - Banner - Burst - 2</t>
  </si>
  <si>
    <t>Punjabi - Banner - Burst - 2</t>
  </si>
  <si>
    <t>Performance breakdown - by Audience -Vietnamese - Banner - Burst - 1</t>
  </si>
  <si>
    <t>By Device</t>
  </si>
  <si>
    <t>Mobile</t>
  </si>
  <si>
    <t>Tablet</t>
  </si>
  <si>
    <t>Destop</t>
  </si>
  <si>
    <t>By Creative</t>
  </si>
  <si>
    <t>CA01309_Vietnamese_Banner_120x600</t>
  </si>
  <si>
    <t>CA01309_Vietnamese_Banner_160x600</t>
  </si>
  <si>
    <t>CA01309_Vietnamese_Banner_320x250</t>
  </si>
  <si>
    <t>CA01309_Vietnamese_Banner_320x50</t>
  </si>
  <si>
    <t xml:space="preserve">By Age </t>
  </si>
  <si>
    <t>18-24</t>
  </si>
  <si>
    <t>25-34</t>
  </si>
  <si>
    <t>35-44</t>
  </si>
  <si>
    <t>45-54</t>
  </si>
  <si>
    <t>By Gender</t>
  </si>
  <si>
    <t>Male</t>
  </si>
  <si>
    <t>Female</t>
  </si>
  <si>
    <t>Performance breakdown - by Audience - Punjabi - Banner - Burst - 1</t>
  </si>
  <si>
    <t>CA01309_Punjabi_Banner_120x600</t>
  </si>
  <si>
    <t>CA01309_Punjabi_Banner_160x600</t>
  </si>
  <si>
    <t>CA01309_Punjabi_Banner_320x250</t>
  </si>
  <si>
    <t>CA01309_Punjabi_Banner_320x50</t>
  </si>
  <si>
    <t>Performance breakdown - by Audience -Vietnamese - Banner - Burst - 2</t>
  </si>
  <si>
    <t>CA01309_Vietnamese_Burst-2_Banner_120x600</t>
  </si>
  <si>
    <t>CA01309_Vietnamese_Burst-2_Banner_160x600</t>
  </si>
  <si>
    <t>CA01309_Vietnamese_Burst-2_Banner_320x250</t>
  </si>
  <si>
    <t>CA01309_Vietnamese_Burst-2_Banner_320x50</t>
  </si>
  <si>
    <t>Performance breakdown - by Audience - Punjabi - Banner - Burst - 2</t>
  </si>
  <si>
    <t>CA01309_Punjabi_Burst-2_Banner_120x600</t>
  </si>
  <si>
    <t>CA01309_Punjabi_Burst-2_Banner_160x600</t>
  </si>
  <si>
    <t>CA01309_Punjabi_Burst-2_Banner_320x250</t>
  </si>
  <si>
    <t>CA01309_Punjabi_Burst-2_Banner_320x50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</si>
</sst>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&quot;-&quot;mmm"/>
    <numFmt numFmtId="165" formatCode="&quot;$&quot;#,##0.00;[Red]\-&quot;$&quot;#,##0.00"/>
  </numFmts>
  <fonts count="8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1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3" fontId="6" fillId="3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0" fontId="6" fillId="3" borderId="2" xfId="0" applyNumberFormat="1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10" fontId="6" fillId="3" borderId="1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2" borderId="3" xfId="0" applyFont="1" applyFill="1" applyBorder="1" applyAlignment="1">
      <alignment horizontal="center" wrapText="1"/>
    </xf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740"/>
  <sheetViews>
    <sheetView tabSelected="1" workbookViewId="0">
      <selection activeCell="F11" sqref="F11"/>
    </sheetView>
  </sheetViews>
  <sheetFormatPr defaultColWidth="12.6328125" defaultRowHeight="15" customHeight="1" x14ac:dyDescent="0.25"/>
  <cols>
    <col min="1" max="1" width="4.7265625" customWidth="1"/>
    <col min="2" max="2" width="55.08984375" customWidth="1"/>
    <col min="3" max="3" width="14.7265625" customWidth="1"/>
    <col min="4" max="4" width="27.08984375" customWidth="1"/>
  </cols>
  <sheetData>
    <row r="1" spans="1:35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 x14ac:dyDescent="0.3">
      <c r="A2" s="1"/>
      <c r="B2" s="34" t="s">
        <v>0</v>
      </c>
      <c r="C2" s="35"/>
      <c r="D2" s="35"/>
      <c r="E2" s="35"/>
      <c r="F2" s="35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5.75" customHeight="1" x14ac:dyDescent="0.35">
      <c r="A4" s="1"/>
      <c r="B4" s="2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8.5" customHeight="1" x14ac:dyDescent="0.3">
      <c r="A5" s="1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.75" customHeight="1" x14ac:dyDescent="0.3">
      <c r="A6" s="1"/>
      <c r="B6" s="4" t="s">
        <v>20</v>
      </c>
      <c r="C6" s="5" t="s">
        <v>21</v>
      </c>
      <c r="D6" s="6" t="s">
        <v>22</v>
      </c>
      <c r="E6" s="7">
        <v>46372</v>
      </c>
      <c r="F6" s="7">
        <v>46332</v>
      </c>
      <c r="G6" s="7">
        <v>46371</v>
      </c>
      <c r="H6" s="8">
        <v>150000</v>
      </c>
      <c r="I6" s="8">
        <v>150020</v>
      </c>
      <c r="J6" s="9">
        <f t="shared" ref="J6:J9" si="0">(E6-F6)/(G6-F6)</f>
        <v>1.0256410256410255</v>
      </c>
      <c r="K6" s="9">
        <f t="shared" ref="K6:K9" si="1">IFERROR(I6/H6,0)</f>
        <v>1.0001333333333333</v>
      </c>
      <c r="L6" s="8">
        <v>52778</v>
      </c>
      <c r="M6" s="10">
        <v>3</v>
      </c>
      <c r="N6" s="8">
        <v>727</v>
      </c>
      <c r="O6" s="11">
        <f t="shared" ref="O6:O9" si="2">N6/I6</f>
        <v>4.8460205305959209E-3</v>
      </c>
      <c r="P6" s="10" t="s">
        <v>23</v>
      </c>
      <c r="Q6" s="12" t="s">
        <v>23</v>
      </c>
      <c r="R6" s="13">
        <f t="shared" ref="R6:R9" si="3">S6*K6</f>
        <v>0</v>
      </c>
      <c r="S6" s="14"/>
      <c r="T6" s="1"/>
      <c r="U6" s="1"/>
      <c r="V6" s="1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.75" customHeight="1" x14ac:dyDescent="0.3">
      <c r="A7" s="1"/>
      <c r="B7" s="4" t="s">
        <v>20</v>
      </c>
      <c r="C7" s="5" t="s">
        <v>21</v>
      </c>
      <c r="D7" s="6" t="s">
        <v>24</v>
      </c>
      <c r="E7" s="7">
        <v>46372</v>
      </c>
      <c r="F7" s="7">
        <v>46332</v>
      </c>
      <c r="G7" s="7">
        <v>46371</v>
      </c>
      <c r="H7" s="8">
        <v>100000</v>
      </c>
      <c r="I7" s="8">
        <v>100016</v>
      </c>
      <c r="J7" s="9">
        <f t="shared" si="0"/>
        <v>1.0256410256410255</v>
      </c>
      <c r="K7" s="9">
        <f t="shared" si="1"/>
        <v>1.0001599999999999</v>
      </c>
      <c r="L7" s="8">
        <v>35899</v>
      </c>
      <c r="M7" s="10">
        <v>3</v>
      </c>
      <c r="N7" s="8">
        <v>491</v>
      </c>
      <c r="O7" s="11">
        <f t="shared" si="2"/>
        <v>4.909214525675892E-3</v>
      </c>
      <c r="P7" s="10" t="s">
        <v>23</v>
      </c>
      <c r="Q7" s="12" t="s">
        <v>23</v>
      </c>
      <c r="R7" s="13">
        <f t="shared" si="3"/>
        <v>0</v>
      </c>
      <c r="S7" s="14"/>
      <c r="T7" s="1"/>
      <c r="U7" s="1"/>
      <c r="V7" s="1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5.75" customHeight="1" x14ac:dyDescent="0.3">
      <c r="A8" s="1"/>
      <c r="B8" s="4" t="s">
        <v>20</v>
      </c>
      <c r="C8" s="5" t="s">
        <v>21</v>
      </c>
      <c r="D8" s="6" t="s">
        <v>25</v>
      </c>
      <c r="E8" s="7">
        <v>46143</v>
      </c>
      <c r="F8" s="16">
        <v>46112</v>
      </c>
      <c r="G8" s="7">
        <v>46142</v>
      </c>
      <c r="H8" s="8">
        <v>175000</v>
      </c>
      <c r="I8" s="8">
        <v>175221</v>
      </c>
      <c r="J8" s="9">
        <f t="shared" si="0"/>
        <v>1.0333333333333334</v>
      </c>
      <c r="K8" s="9">
        <f t="shared" si="1"/>
        <v>1.0012628571428572</v>
      </c>
      <c r="L8" s="8">
        <v>58605</v>
      </c>
      <c r="M8" s="10">
        <v>3</v>
      </c>
      <c r="N8" s="8">
        <v>821</v>
      </c>
      <c r="O8" s="11">
        <f t="shared" si="2"/>
        <v>4.6855114398388319E-3</v>
      </c>
      <c r="P8" s="10" t="s">
        <v>23</v>
      </c>
      <c r="Q8" s="12" t="s">
        <v>23</v>
      </c>
      <c r="R8" s="13">
        <f t="shared" si="3"/>
        <v>0</v>
      </c>
      <c r="S8" s="14"/>
      <c r="T8" s="1"/>
      <c r="U8" s="1"/>
      <c r="V8" s="1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5.75" customHeight="1" x14ac:dyDescent="0.3">
      <c r="A9" s="1"/>
      <c r="B9" s="4" t="s">
        <v>20</v>
      </c>
      <c r="C9" s="5" t="s">
        <v>21</v>
      </c>
      <c r="D9" s="6" t="s">
        <v>26</v>
      </c>
      <c r="E9" s="7">
        <v>46143</v>
      </c>
      <c r="F9" s="16">
        <v>46112</v>
      </c>
      <c r="G9" s="7">
        <v>46142</v>
      </c>
      <c r="H9" s="8">
        <v>125000</v>
      </c>
      <c r="I9" s="8">
        <v>125384</v>
      </c>
      <c r="J9" s="9">
        <f t="shared" si="0"/>
        <v>1.0333333333333334</v>
      </c>
      <c r="K9" s="9">
        <f t="shared" si="1"/>
        <v>1.003072</v>
      </c>
      <c r="L9" s="8">
        <v>41823</v>
      </c>
      <c r="M9" s="10">
        <v>3</v>
      </c>
      <c r="N9" s="8">
        <v>596</v>
      </c>
      <c r="O9" s="11">
        <f t="shared" si="2"/>
        <v>4.7533975626874239E-3</v>
      </c>
      <c r="P9" s="10" t="s">
        <v>23</v>
      </c>
      <c r="Q9" s="10" t="s">
        <v>23</v>
      </c>
      <c r="R9" s="13">
        <f t="shared" si="3"/>
        <v>0</v>
      </c>
      <c r="S9" s="14"/>
      <c r="T9" s="1"/>
      <c r="U9" s="1"/>
      <c r="V9" s="1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.75" customHeight="1" x14ac:dyDescent="0.3">
      <c r="A10" s="17"/>
      <c r="B10" s="15"/>
      <c r="C10" s="15"/>
      <c r="D10" s="15"/>
      <c r="E10" s="15"/>
      <c r="F10" s="15"/>
      <c r="G10" s="15"/>
      <c r="H10" s="15"/>
      <c r="I10" s="1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.75" customHeight="1" x14ac:dyDescent="0.3">
      <c r="A11" s="17"/>
      <c r="B11" s="15"/>
      <c r="C11" s="15"/>
      <c r="D11" s="15"/>
      <c r="E11" s="15"/>
      <c r="F11" s="15"/>
      <c r="G11" s="15"/>
      <c r="H11" s="15"/>
      <c r="I11" s="1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5.75" customHeight="1" x14ac:dyDescent="0.35">
      <c r="A12" s="17"/>
      <c r="B12" s="36" t="s">
        <v>27</v>
      </c>
      <c r="C12" s="37"/>
      <c r="D12" s="37"/>
      <c r="E12" s="18"/>
      <c r="F12" s="18"/>
      <c r="G12" s="18"/>
      <c r="H12" s="18"/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.75" customHeight="1" x14ac:dyDescent="0.35">
      <c r="A13" s="17"/>
      <c r="B13" s="19" t="s">
        <v>28</v>
      </c>
      <c r="C13" s="20" t="s">
        <v>9</v>
      </c>
      <c r="D13" s="20" t="s">
        <v>12</v>
      </c>
      <c r="E13" s="20" t="s">
        <v>13</v>
      </c>
      <c r="F13" s="20" t="s">
        <v>16</v>
      </c>
      <c r="G13" s="20" t="s">
        <v>14</v>
      </c>
      <c r="H13" s="20" t="s">
        <v>15</v>
      </c>
      <c r="I13" s="20" t="s">
        <v>18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.75" customHeight="1" x14ac:dyDescent="0.3">
      <c r="A14" s="17"/>
      <c r="B14" s="21" t="s">
        <v>29</v>
      </c>
      <c r="C14" s="22">
        <v>86026</v>
      </c>
      <c r="D14" s="23">
        <v>30264</v>
      </c>
      <c r="E14" s="21">
        <v>3</v>
      </c>
      <c r="F14" s="21" t="s">
        <v>23</v>
      </c>
      <c r="G14" s="23">
        <v>401</v>
      </c>
      <c r="H14" s="24">
        <f t="shared" ref="H14:H16" si="4">G14/C14</f>
        <v>4.6613814428196126E-3</v>
      </c>
      <c r="I14" s="2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5.75" customHeight="1" x14ac:dyDescent="0.3">
      <c r="A15" s="17"/>
      <c r="B15" s="21" t="s">
        <v>30</v>
      </c>
      <c r="C15" s="22">
        <v>1001</v>
      </c>
      <c r="D15" s="23">
        <v>353</v>
      </c>
      <c r="E15" s="21">
        <v>3</v>
      </c>
      <c r="F15" s="21" t="s">
        <v>23</v>
      </c>
      <c r="G15" s="23">
        <v>3</v>
      </c>
      <c r="H15" s="24">
        <f t="shared" si="4"/>
        <v>2.997002997002997E-3</v>
      </c>
      <c r="I15" s="2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.75" customHeight="1" x14ac:dyDescent="0.3">
      <c r="A16" s="17"/>
      <c r="B16" s="21" t="s">
        <v>31</v>
      </c>
      <c r="C16" s="22">
        <v>62993</v>
      </c>
      <c r="D16" s="23">
        <v>22161</v>
      </c>
      <c r="E16" s="21">
        <v>3</v>
      </c>
      <c r="F16" s="21" t="s">
        <v>23</v>
      </c>
      <c r="G16" s="23">
        <v>323</v>
      </c>
      <c r="H16" s="24">
        <f t="shared" si="4"/>
        <v>5.1275538551902589E-3</v>
      </c>
      <c r="I16" s="2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.75" customHeight="1" x14ac:dyDescent="0.3">
      <c r="A17" s="17"/>
      <c r="B17" s="18"/>
      <c r="C17" s="18"/>
      <c r="D17" s="18"/>
      <c r="E17" s="18"/>
      <c r="F17" s="18"/>
      <c r="G17" s="18"/>
      <c r="H17" s="18"/>
      <c r="I17" s="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.75" customHeight="1" x14ac:dyDescent="0.3">
      <c r="A18" s="17"/>
      <c r="B18" s="18"/>
      <c r="C18" s="18"/>
      <c r="D18" s="18"/>
      <c r="E18" s="18"/>
      <c r="F18" s="18"/>
      <c r="G18" s="18"/>
      <c r="H18" s="18"/>
      <c r="I18" s="1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.75" customHeight="1" x14ac:dyDescent="0.35">
      <c r="A19" s="17"/>
      <c r="B19" s="19" t="s">
        <v>32</v>
      </c>
      <c r="C19" s="20" t="s">
        <v>9</v>
      </c>
      <c r="D19" s="20" t="s">
        <v>12</v>
      </c>
      <c r="E19" s="20" t="s">
        <v>13</v>
      </c>
      <c r="F19" s="20" t="s">
        <v>16</v>
      </c>
      <c r="G19" s="20" t="s">
        <v>14</v>
      </c>
      <c r="H19" s="20" t="s">
        <v>15</v>
      </c>
      <c r="I19" s="20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.75" customHeight="1" x14ac:dyDescent="0.3">
      <c r="A20" s="17"/>
      <c r="B20" s="26" t="s">
        <v>33</v>
      </c>
      <c r="C20" s="22">
        <v>18551</v>
      </c>
      <c r="D20" s="23">
        <v>6527</v>
      </c>
      <c r="E20" s="21">
        <v>3</v>
      </c>
      <c r="F20" s="21" t="s">
        <v>23</v>
      </c>
      <c r="G20" s="22">
        <v>89</v>
      </c>
      <c r="H20" s="24">
        <f t="shared" ref="H20:H23" si="5">G20/C20</f>
        <v>4.7975850358471239E-3</v>
      </c>
      <c r="I20" s="21" t="s">
        <v>23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.75" customHeight="1" x14ac:dyDescent="0.3">
      <c r="A21" s="17"/>
      <c r="B21" s="26" t="s">
        <v>34</v>
      </c>
      <c r="C21" s="22">
        <v>44366</v>
      </c>
      <c r="D21" s="23">
        <v>15608</v>
      </c>
      <c r="E21" s="21">
        <v>3</v>
      </c>
      <c r="F21" s="21" t="s">
        <v>23</v>
      </c>
      <c r="G21" s="22">
        <v>234</v>
      </c>
      <c r="H21" s="24">
        <f t="shared" si="5"/>
        <v>5.274309155659739E-3</v>
      </c>
      <c r="I21" s="21" t="s">
        <v>23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75" customHeight="1" x14ac:dyDescent="0.3">
      <c r="A22" s="17"/>
      <c r="B22" s="26" t="s">
        <v>35</v>
      </c>
      <c r="C22" s="22">
        <v>1178</v>
      </c>
      <c r="D22" s="23">
        <v>414</v>
      </c>
      <c r="E22" s="21">
        <v>3</v>
      </c>
      <c r="F22" s="21" t="s">
        <v>23</v>
      </c>
      <c r="G22" s="22">
        <v>5</v>
      </c>
      <c r="H22" s="24">
        <f t="shared" si="5"/>
        <v>4.2444821731748728E-3</v>
      </c>
      <c r="I22" s="21" t="s">
        <v>23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.75" customHeight="1" x14ac:dyDescent="0.3">
      <c r="A23" s="17"/>
      <c r="B23" s="26" t="s">
        <v>36</v>
      </c>
      <c r="C23" s="22">
        <v>85925</v>
      </c>
      <c r="D23" s="23">
        <v>30229</v>
      </c>
      <c r="E23" s="21">
        <v>3</v>
      </c>
      <c r="F23" s="21" t="s">
        <v>23</v>
      </c>
      <c r="G23" s="22">
        <v>399</v>
      </c>
      <c r="H23" s="24">
        <f t="shared" si="5"/>
        <v>4.6435845213849284E-3</v>
      </c>
      <c r="I23" s="21" t="s">
        <v>23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5.75" customHeight="1" x14ac:dyDescent="0.3">
      <c r="A24" s="17"/>
      <c r="B24" s="18"/>
      <c r="C24" s="18"/>
      <c r="D24" s="18"/>
      <c r="E24" s="18"/>
      <c r="F24" s="18"/>
      <c r="G24" s="18"/>
      <c r="H24" s="18"/>
      <c r="I24" s="1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.75" customHeight="1" x14ac:dyDescent="0.3">
      <c r="A25" s="17"/>
      <c r="B25" s="18"/>
      <c r="C25" s="18"/>
      <c r="D25" s="18"/>
      <c r="E25" s="18"/>
      <c r="F25" s="18"/>
      <c r="G25" s="18"/>
      <c r="H25" s="18"/>
      <c r="I25" s="1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5.75" customHeight="1" x14ac:dyDescent="0.35">
      <c r="A26" s="17"/>
      <c r="B26" s="19" t="s">
        <v>37</v>
      </c>
      <c r="C26" s="20" t="s">
        <v>9</v>
      </c>
      <c r="D26" s="20" t="s">
        <v>12</v>
      </c>
      <c r="E26" s="20" t="s">
        <v>13</v>
      </c>
      <c r="F26" s="20" t="s">
        <v>16</v>
      </c>
      <c r="G26" s="20" t="s">
        <v>14</v>
      </c>
      <c r="H26" s="20" t="s">
        <v>15</v>
      </c>
      <c r="I26" s="20" t="s">
        <v>18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5.75" customHeight="1" x14ac:dyDescent="0.3">
      <c r="A27" s="17"/>
      <c r="B27" s="27" t="s">
        <v>38</v>
      </c>
      <c r="C27" s="22">
        <v>36291</v>
      </c>
      <c r="D27" s="23">
        <v>12767</v>
      </c>
      <c r="E27" s="21">
        <v>3</v>
      </c>
      <c r="F27" s="21" t="s">
        <v>23</v>
      </c>
      <c r="G27" s="26">
        <v>177</v>
      </c>
      <c r="H27" s="24">
        <f t="shared" ref="H27:H30" si="6">G27/C27</f>
        <v>4.8772422914772256E-3</v>
      </c>
      <c r="I27" s="2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.75" customHeight="1" x14ac:dyDescent="0.3">
      <c r="A28" s="17"/>
      <c r="B28" s="27" t="s">
        <v>39</v>
      </c>
      <c r="C28" s="22">
        <v>51577</v>
      </c>
      <c r="D28" s="23">
        <v>18145</v>
      </c>
      <c r="E28" s="21">
        <v>3</v>
      </c>
      <c r="F28" s="21" t="s">
        <v>23</v>
      </c>
      <c r="G28" s="26">
        <v>232</v>
      </c>
      <c r="H28" s="24">
        <f t="shared" si="6"/>
        <v>4.4981290109932723E-3</v>
      </c>
      <c r="I28" s="2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.75" customHeight="1" x14ac:dyDescent="0.3">
      <c r="A29" s="17"/>
      <c r="B29" s="27" t="s">
        <v>40</v>
      </c>
      <c r="C29" s="22">
        <v>46893</v>
      </c>
      <c r="D29" s="23">
        <v>16498</v>
      </c>
      <c r="E29" s="21">
        <v>3</v>
      </c>
      <c r="F29" s="21" t="s">
        <v>23</v>
      </c>
      <c r="G29" s="26">
        <v>245</v>
      </c>
      <c r="H29" s="24">
        <f t="shared" si="6"/>
        <v>5.2246603970741903E-3</v>
      </c>
      <c r="I29" s="2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.75" customHeight="1" x14ac:dyDescent="0.3">
      <c r="A30" s="17"/>
      <c r="B30" s="27" t="s">
        <v>41</v>
      </c>
      <c r="C30" s="22">
        <v>15259</v>
      </c>
      <c r="D30" s="23">
        <v>5368</v>
      </c>
      <c r="E30" s="21">
        <v>3</v>
      </c>
      <c r="F30" s="21" t="s">
        <v>23</v>
      </c>
      <c r="G30" s="26">
        <v>73</v>
      </c>
      <c r="H30" s="24">
        <f t="shared" si="6"/>
        <v>4.7840618651287768E-3</v>
      </c>
      <c r="I30" s="2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.75" customHeight="1" x14ac:dyDescent="0.3">
      <c r="A31" s="17"/>
      <c r="B31" s="18"/>
      <c r="C31" s="18"/>
      <c r="D31" s="18"/>
      <c r="E31" s="28"/>
      <c r="F31" s="28"/>
      <c r="G31" s="28"/>
      <c r="H31" s="29"/>
      <c r="I31" s="3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5.75" customHeight="1" x14ac:dyDescent="0.3">
      <c r="A32" s="17"/>
      <c r="B32" s="18"/>
      <c r="C32" s="28"/>
      <c r="D32" s="28"/>
      <c r="E32" s="28"/>
      <c r="F32" s="28"/>
      <c r="G32" s="28"/>
      <c r="H32" s="29"/>
      <c r="I32" s="3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5.75" customHeight="1" x14ac:dyDescent="0.35">
      <c r="A33" s="17"/>
      <c r="B33" s="19" t="s">
        <v>42</v>
      </c>
      <c r="C33" s="20" t="s">
        <v>9</v>
      </c>
      <c r="D33" s="20" t="s">
        <v>12</v>
      </c>
      <c r="E33" s="20" t="s">
        <v>13</v>
      </c>
      <c r="F33" s="20" t="s">
        <v>16</v>
      </c>
      <c r="G33" s="20" t="s">
        <v>14</v>
      </c>
      <c r="H33" s="20" t="s">
        <v>15</v>
      </c>
      <c r="I33" s="20" t="s">
        <v>18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5.75" customHeight="1" x14ac:dyDescent="0.3">
      <c r="A34" s="17"/>
      <c r="B34" s="27" t="s">
        <v>43</v>
      </c>
      <c r="C34" s="22">
        <v>96523</v>
      </c>
      <c r="D34" s="23">
        <v>33957</v>
      </c>
      <c r="E34" s="21">
        <v>3</v>
      </c>
      <c r="F34" s="21" t="s">
        <v>23</v>
      </c>
      <c r="G34" s="23">
        <v>453</v>
      </c>
      <c r="H34" s="24">
        <f t="shared" ref="H34:H35" si="7">G34/C34</f>
        <v>4.6931819359116479E-3</v>
      </c>
      <c r="I34" s="2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5.75" customHeight="1" x14ac:dyDescent="0.3">
      <c r="A35" s="17"/>
      <c r="B35" s="27" t="s">
        <v>44</v>
      </c>
      <c r="C35" s="22">
        <v>53497</v>
      </c>
      <c r="D35" s="23">
        <v>18821</v>
      </c>
      <c r="E35" s="21">
        <v>3</v>
      </c>
      <c r="F35" s="21" t="s">
        <v>23</v>
      </c>
      <c r="G35" s="23">
        <v>274</v>
      </c>
      <c r="H35" s="24">
        <f t="shared" si="7"/>
        <v>5.1217825298614872E-3</v>
      </c>
      <c r="I35" s="2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5.75" customHeight="1" x14ac:dyDescent="0.3">
      <c r="A36" s="17"/>
      <c r="B36" s="15"/>
      <c r="C36" s="15"/>
      <c r="D36" s="15"/>
      <c r="E36" s="15"/>
      <c r="F36" s="15"/>
      <c r="G36" s="15"/>
      <c r="H36" s="15"/>
      <c r="I36" s="1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5.75" customHeight="1" x14ac:dyDescent="0.3">
      <c r="A37" s="17"/>
      <c r="B37" s="15"/>
      <c r="C37" s="15"/>
      <c r="D37" s="15"/>
      <c r="E37" s="15"/>
      <c r="F37" s="15"/>
      <c r="G37" s="15"/>
      <c r="H37" s="15"/>
      <c r="I37" s="1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5.75" customHeight="1" x14ac:dyDescent="0.35">
      <c r="A38" s="17"/>
      <c r="B38" s="36" t="s">
        <v>45</v>
      </c>
      <c r="C38" s="37"/>
      <c r="D38" s="37"/>
      <c r="E38" s="18"/>
      <c r="F38" s="18"/>
      <c r="G38" s="18"/>
      <c r="H38" s="18"/>
      <c r="I38" s="1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5.75" customHeight="1" x14ac:dyDescent="0.35">
      <c r="A39" s="17"/>
      <c r="B39" s="19" t="s">
        <v>28</v>
      </c>
      <c r="C39" s="20" t="s">
        <v>9</v>
      </c>
      <c r="D39" s="20" t="s">
        <v>12</v>
      </c>
      <c r="E39" s="20" t="s">
        <v>13</v>
      </c>
      <c r="F39" s="20" t="s">
        <v>16</v>
      </c>
      <c r="G39" s="20" t="s">
        <v>14</v>
      </c>
      <c r="H39" s="20" t="s">
        <v>15</v>
      </c>
      <c r="I39" s="20" t="s">
        <v>18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5.75" customHeight="1" x14ac:dyDescent="0.3">
      <c r="A40" s="17"/>
      <c r="B40" s="21" t="s">
        <v>29</v>
      </c>
      <c r="C40" s="22">
        <v>63399</v>
      </c>
      <c r="D40" s="23">
        <v>22755</v>
      </c>
      <c r="E40" s="21">
        <v>3</v>
      </c>
      <c r="F40" s="21" t="s">
        <v>23</v>
      </c>
      <c r="G40" s="23">
        <v>315</v>
      </c>
      <c r="H40" s="24">
        <f t="shared" ref="H40:H42" si="8">G40/C40</f>
        <v>4.9685326266975822E-3</v>
      </c>
      <c r="I40" s="2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5.75" customHeight="1" x14ac:dyDescent="0.3">
      <c r="A41" s="17"/>
      <c r="B41" s="21" t="s">
        <v>30</v>
      </c>
      <c r="C41" s="22">
        <v>1974</v>
      </c>
      <c r="D41" s="23">
        <v>709</v>
      </c>
      <c r="E41" s="21">
        <v>3</v>
      </c>
      <c r="F41" s="21" t="s">
        <v>23</v>
      </c>
      <c r="G41" s="23">
        <v>9</v>
      </c>
      <c r="H41" s="24">
        <f t="shared" si="8"/>
        <v>4.559270516717325E-3</v>
      </c>
      <c r="I41" s="2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5.75" customHeight="1" x14ac:dyDescent="0.3">
      <c r="A42" s="17"/>
      <c r="B42" s="21" t="s">
        <v>31</v>
      </c>
      <c r="C42" s="22">
        <v>34643</v>
      </c>
      <c r="D42" s="23">
        <v>12435</v>
      </c>
      <c r="E42" s="21">
        <v>3</v>
      </c>
      <c r="F42" s="21" t="s">
        <v>23</v>
      </c>
      <c r="G42" s="23">
        <v>167</v>
      </c>
      <c r="H42" s="24">
        <f t="shared" si="8"/>
        <v>4.8205986779435959E-3</v>
      </c>
      <c r="I42" s="2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5.75" customHeight="1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5.75" customHeight="1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5.75" customHeight="1" x14ac:dyDescent="0.35">
      <c r="A45" s="17"/>
      <c r="B45" s="19" t="s">
        <v>32</v>
      </c>
      <c r="C45" s="20" t="s">
        <v>9</v>
      </c>
      <c r="D45" s="20" t="s">
        <v>12</v>
      </c>
      <c r="E45" s="20" t="s">
        <v>13</v>
      </c>
      <c r="F45" s="20" t="s">
        <v>16</v>
      </c>
      <c r="G45" s="20" t="s">
        <v>14</v>
      </c>
      <c r="H45" s="20" t="s">
        <v>15</v>
      </c>
      <c r="I45" s="20" t="s">
        <v>18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5.75" customHeight="1" x14ac:dyDescent="0.3">
      <c r="A46" s="17"/>
      <c r="B46" s="26" t="s">
        <v>46</v>
      </c>
      <c r="C46" s="22">
        <v>7238</v>
      </c>
      <c r="D46" s="23">
        <v>2598</v>
      </c>
      <c r="E46" s="21">
        <v>3</v>
      </c>
      <c r="F46" s="21" t="s">
        <v>23</v>
      </c>
      <c r="G46" s="23">
        <v>34</v>
      </c>
      <c r="H46" s="24">
        <f t="shared" ref="H46:H49" si="9">G46/C46</f>
        <v>4.6974302293451226E-3</v>
      </c>
      <c r="I46" s="21" t="s">
        <v>23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.75" customHeight="1" x14ac:dyDescent="0.3">
      <c r="A47" s="17"/>
      <c r="B47" s="26" t="s">
        <v>47</v>
      </c>
      <c r="C47" s="22">
        <v>24357</v>
      </c>
      <c r="D47" s="23">
        <v>8743</v>
      </c>
      <c r="E47" s="21">
        <v>3</v>
      </c>
      <c r="F47" s="21" t="s">
        <v>23</v>
      </c>
      <c r="G47" s="23">
        <v>132</v>
      </c>
      <c r="H47" s="24">
        <f t="shared" si="9"/>
        <v>5.4193866239684689E-3</v>
      </c>
      <c r="I47" s="21" t="s">
        <v>23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5.75" customHeight="1" x14ac:dyDescent="0.3">
      <c r="A48" s="17"/>
      <c r="B48" s="26" t="s">
        <v>48</v>
      </c>
      <c r="C48" s="22">
        <v>9469</v>
      </c>
      <c r="D48" s="23">
        <v>3399</v>
      </c>
      <c r="E48" s="21">
        <v>3</v>
      </c>
      <c r="F48" s="21" t="s">
        <v>23</v>
      </c>
      <c r="G48" s="23">
        <v>41</v>
      </c>
      <c r="H48" s="24">
        <f t="shared" si="9"/>
        <v>4.329918682014996E-3</v>
      </c>
      <c r="I48" s="21" t="s">
        <v>23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5.75" customHeight="1" x14ac:dyDescent="0.3">
      <c r="A49" s="17"/>
      <c r="B49" s="26" t="s">
        <v>49</v>
      </c>
      <c r="C49" s="22">
        <v>58952</v>
      </c>
      <c r="D49" s="23">
        <v>21159</v>
      </c>
      <c r="E49" s="21">
        <v>3</v>
      </c>
      <c r="F49" s="21" t="s">
        <v>23</v>
      </c>
      <c r="G49" s="23">
        <v>284</v>
      </c>
      <c r="H49" s="24">
        <f t="shared" si="9"/>
        <v>4.8174786266793326E-3</v>
      </c>
      <c r="I49" s="21" t="s">
        <v>23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5.75" customHeight="1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5.75" customHeight="1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5.75" customHeight="1" x14ac:dyDescent="0.35">
      <c r="A52" s="17"/>
      <c r="B52" s="19" t="s">
        <v>37</v>
      </c>
      <c r="C52" s="20" t="s">
        <v>9</v>
      </c>
      <c r="D52" s="20" t="s">
        <v>12</v>
      </c>
      <c r="E52" s="20" t="s">
        <v>13</v>
      </c>
      <c r="F52" s="20" t="s">
        <v>16</v>
      </c>
      <c r="G52" s="20" t="s">
        <v>14</v>
      </c>
      <c r="H52" s="20" t="s">
        <v>15</v>
      </c>
      <c r="I52" s="20" t="s">
        <v>18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5.75" customHeight="1" x14ac:dyDescent="0.3">
      <c r="A53" s="17"/>
      <c r="B53" s="27" t="s">
        <v>38</v>
      </c>
      <c r="C53" s="22">
        <v>24333</v>
      </c>
      <c r="D53" s="23">
        <v>8734</v>
      </c>
      <c r="E53" s="21">
        <v>3</v>
      </c>
      <c r="F53" s="21" t="s">
        <v>23</v>
      </c>
      <c r="G53" s="23">
        <v>114</v>
      </c>
      <c r="H53" s="24">
        <f t="shared" ref="H53:H56" si="10">G53/C53</f>
        <v>4.6849956848723957E-3</v>
      </c>
      <c r="I53" s="2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5.75" customHeight="1" x14ac:dyDescent="0.3">
      <c r="A54" s="17"/>
      <c r="B54" s="27" t="s">
        <v>39</v>
      </c>
      <c r="C54" s="22">
        <v>34265</v>
      </c>
      <c r="D54" s="23">
        <v>12299</v>
      </c>
      <c r="E54" s="21">
        <v>3</v>
      </c>
      <c r="F54" s="21" t="s">
        <v>23</v>
      </c>
      <c r="G54" s="23">
        <v>187</v>
      </c>
      <c r="H54" s="24">
        <f t="shared" si="10"/>
        <v>5.4574638844301767E-3</v>
      </c>
      <c r="I54" s="2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5.75" customHeight="1" x14ac:dyDescent="0.3">
      <c r="A55" s="17"/>
      <c r="B55" s="27" t="s">
        <v>40</v>
      </c>
      <c r="C55" s="22">
        <v>30176</v>
      </c>
      <c r="D55" s="23">
        <v>10831</v>
      </c>
      <c r="E55" s="21">
        <v>3</v>
      </c>
      <c r="F55" s="21" t="s">
        <v>23</v>
      </c>
      <c r="G55" s="23">
        <v>132</v>
      </c>
      <c r="H55" s="24">
        <f t="shared" si="10"/>
        <v>4.3743372216330859E-3</v>
      </c>
      <c r="I55" s="2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5.75" customHeight="1" x14ac:dyDescent="0.3">
      <c r="A56" s="17"/>
      <c r="B56" s="27" t="s">
        <v>41</v>
      </c>
      <c r="C56" s="22">
        <v>11242</v>
      </c>
      <c r="D56" s="23">
        <v>4035</v>
      </c>
      <c r="E56" s="21">
        <v>3</v>
      </c>
      <c r="F56" s="21" t="s">
        <v>23</v>
      </c>
      <c r="G56" s="23">
        <v>58</v>
      </c>
      <c r="H56" s="24">
        <f t="shared" si="10"/>
        <v>5.1592243373065295E-3</v>
      </c>
      <c r="I56" s="2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5.75" customHeight="1" x14ac:dyDescent="0.3">
      <c r="A57" s="17"/>
      <c r="B57" s="18"/>
      <c r="C57" s="18"/>
      <c r="D57" s="18"/>
      <c r="E57" s="28"/>
      <c r="F57" s="28"/>
      <c r="G57" s="28"/>
      <c r="H57" s="29"/>
      <c r="I57" s="3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5.75" customHeight="1" x14ac:dyDescent="0.3">
      <c r="A58" s="17"/>
      <c r="B58" s="18"/>
      <c r="C58" s="28"/>
      <c r="D58" s="28"/>
      <c r="E58" s="28"/>
      <c r="F58" s="28"/>
      <c r="G58" s="28"/>
      <c r="H58" s="29"/>
      <c r="I58" s="3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5.75" customHeight="1" x14ac:dyDescent="0.35">
      <c r="A59" s="17"/>
      <c r="B59" s="19" t="s">
        <v>42</v>
      </c>
      <c r="C59" s="20" t="s">
        <v>9</v>
      </c>
      <c r="D59" s="20" t="s">
        <v>12</v>
      </c>
      <c r="E59" s="20" t="s">
        <v>13</v>
      </c>
      <c r="F59" s="20" t="s">
        <v>16</v>
      </c>
      <c r="G59" s="20" t="s">
        <v>14</v>
      </c>
      <c r="H59" s="20" t="s">
        <v>15</v>
      </c>
      <c r="I59" s="20" t="s">
        <v>18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5.75" customHeight="1" x14ac:dyDescent="0.3">
      <c r="A60" s="17"/>
      <c r="B60" s="27" t="s">
        <v>43</v>
      </c>
      <c r="C60" s="22">
        <v>62781</v>
      </c>
      <c r="D60" s="23">
        <v>22534</v>
      </c>
      <c r="E60" s="21">
        <v>3</v>
      </c>
      <c r="F60" s="21" t="s">
        <v>23</v>
      </c>
      <c r="G60" s="23">
        <v>304</v>
      </c>
      <c r="H60" s="24">
        <f t="shared" ref="H60:H61" si="11">G60/C60</f>
        <v>4.8422293369012916E-3</v>
      </c>
      <c r="I60" s="2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5.75" customHeight="1" x14ac:dyDescent="0.3">
      <c r="A61" s="17"/>
      <c r="B61" s="27" t="s">
        <v>44</v>
      </c>
      <c r="C61" s="22">
        <v>37235</v>
      </c>
      <c r="D61" s="23">
        <v>13365</v>
      </c>
      <c r="E61" s="21">
        <v>3</v>
      </c>
      <c r="F61" s="21" t="s">
        <v>23</v>
      </c>
      <c r="G61" s="23">
        <v>187</v>
      </c>
      <c r="H61" s="24">
        <f t="shared" si="11"/>
        <v>5.0221565731166911E-3</v>
      </c>
      <c r="I61" s="2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.75" customHeight="1" x14ac:dyDescent="0.3">
      <c r="A62" s="17"/>
      <c r="B62" s="15"/>
      <c r="C62" s="15"/>
      <c r="D62" s="15"/>
      <c r="E62" s="15"/>
      <c r="F62" s="15"/>
      <c r="G62" s="15"/>
      <c r="H62" s="15"/>
      <c r="I62" s="1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5.75" customHeight="1" x14ac:dyDescent="0.35">
      <c r="A63" s="18"/>
      <c r="B63" s="36" t="s">
        <v>50</v>
      </c>
      <c r="C63" s="37"/>
      <c r="D63" s="3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</row>
    <row r="64" spans="1:35" ht="15.75" customHeight="1" x14ac:dyDescent="0.35">
      <c r="A64" s="18"/>
      <c r="B64" s="19" t="s">
        <v>28</v>
      </c>
      <c r="C64" s="20" t="s">
        <v>9</v>
      </c>
      <c r="D64" s="20" t="s">
        <v>12</v>
      </c>
      <c r="E64" s="20" t="s">
        <v>13</v>
      </c>
      <c r="F64" s="20" t="s">
        <v>16</v>
      </c>
      <c r="G64" s="20" t="s">
        <v>14</v>
      </c>
      <c r="H64" s="20" t="s">
        <v>15</v>
      </c>
      <c r="I64" s="20" t="s">
        <v>18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</row>
    <row r="65" spans="1:35" ht="15.75" customHeight="1" x14ac:dyDescent="0.3">
      <c r="A65" s="18"/>
      <c r="B65" s="21" t="s">
        <v>29</v>
      </c>
      <c r="C65" s="22">
        <v>74581</v>
      </c>
      <c r="D65" s="23">
        <v>24917</v>
      </c>
      <c r="E65" s="21">
        <v>3</v>
      </c>
      <c r="F65" s="21" t="s">
        <v>23</v>
      </c>
      <c r="G65" s="22">
        <v>403</v>
      </c>
      <c r="H65" s="24">
        <f t="shared" ref="H65:H67" si="12">G65/C65</f>
        <v>5.4035210040090636E-3</v>
      </c>
      <c r="I65" s="25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</row>
    <row r="66" spans="1:35" ht="15.75" customHeight="1" x14ac:dyDescent="0.3">
      <c r="A66" s="18"/>
      <c r="B66" s="21" t="s">
        <v>30</v>
      </c>
      <c r="C66" s="22">
        <v>16820</v>
      </c>
      <c r="D66" s="23">
        <v>5697</v>
      </c>
      <c r="E66" s="21">
        <v>3</v>
      </c>
      <c r="F66" s="21" t="s">
        <v>23</v>
      </c>
      <c r="G66" s="22">
        <v>71</v>
      </c>
      <c r="H66" s="24">
        <f t="shared" si="12"/>
        <v>4.2211652794292513E-3</v>
      </c>
      <c r="I66" s="25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</row>
    <row r="67" spans="1:35" ht="15.75" customHeight="1" x14ac:dyDescent="0.3">
      <c r="A67" s="18"/>
      <c r="B67" s="21" t="s">
        <v>31</v>
      </c>
      <c r="C67" s="22">
        <v>83820</v>
      </c>
      <c r="D67" s="31">
        <v>27991</v>
      </c>
      <c r="E67" s="21">
        <v>3</v>
      </c>
      <c r="F67" s="21" t="s">
        <v>23</v>
      </c>
      <c r="G67" s="22">
        <v>347</v>
      </c>
      <c r="H67" s="24">
        <f t="shared" si="12"/>
        <v>4.139823431162014E-3</v>
      </c>
      <c r="I67" s="25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</row>
    <row r="68" spans="1:35" ht="15.7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</row>
    <row r="69" spans="1:35" ht="15.7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</row>
    <row r="70" spans="1:35" ht="15.75" customHeight="1" x14ac:dyDescent="0.35">
      <c r="A70" s="18"/>
      <c r="B70" s="19" t="s">
        <v>32</v>
      </c>
      <c r="C70" s="20" t="s">
        <v>9</v>
      </c>
      <c r="D70" s="20" t="s">
        <v>12</v>
      </c>
      <c r="E70" s="20" t="s">
        <v>13</v>
      </c>
      <c r="F70" s="20" t="s">
        <v>16</v>
      </c>
      <c r="G70" s="20" t="s">
        <v>14</v>
      </c>
      <c r="H70" s="20" t="s">
        <v>15</v>
      </c>
      <c r="I70" s="20" t="s">
        <v>18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</row>
    <row r="71" spans="1:35" ht="15.75" customHeight="1" x14ac:dyDescent="0.3">
      <c r="A71" s="18"/>
      <c r="B71" s="26" t="s">
        <v>51</v>
      </c>
      <c r="C71" s="22">
        <v>11792</v>
      </c>
      <c r="D71" s="31">
        <v>4008</v>
      </c>
      <c r="E71" s="21">
        <v>3</v>
      </c>
      <c r="F71" s="21" t="s">
        <v>23</v>
      </c>
      <c r="G71" s="22">
        <v>43</v>
      </c>
      <c r="H71" s="24">
        <f t="shared" ref="H71:H74" si="13">G71/C71</f>
        <v>3.6465400271370419E-3</v>
      </c>
      <c r="I71" s="21" t="s">
        <v>23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</row>
    <row r="72" spans="1:35" ht="15.75" customHeight="1" x14ac:dyDescent="0.3">
      <c r="A72" s="18"/>
      <c r="B72" s="26" t="s">
        <v>52</v>
      </c>
      <c r="C72" s="22">
        <v>55103</v>
      </c>
      <c r="D72" s="23">
        <v>18453</v>
      </c>
      <c r="E72" s="21">
        <v>3</v>
      </c>
      <c r="F72" s="21" t="s">
        <v>23</v>
      </c>
      <c r="G72" s="22">
        <v>234</v>
      </c>
      <c r="H72" s="24">
        <f t="shared" si="13"/>
        <v>4.2465927444966696E-3</v>
      </c>
      <c r="I72" s="21" t="s">
        <v>23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</row>
    <row r="73" spans="1:35" ht="15.75" customHeight="1" x14ac:dyDescent="0.3">
      <c r="A73" s="18"/>
      <c r="B73" s="26" t="s">
        <v>53</v>
      </c>
      <c r="C73" s="22">
        <v>2188</v>
      </c>
      <c r="D73" s="23">
        <v>785</v>
      </c>
      <c r="E73" s="21">
        <v>3</v>
      </c>
      <c r="F73" s="21" t="s">
        <v>23</v>
      </c>
      <c r="G73" s="22">
        <v>10</v>
      </c>
      <c r="H73" s="24">
        <f t="shared" si="13"/>
        <v>4.570383912248629E-3</v>
      </c>
      <c r="I73" s="21" t="s">
        <v>23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</row>
    <row r="74" spans="1:35" ht="15.75" customHeight="1" x14ac:dyDescent="0.3">
      <c r="A74" s="18"/>
      <c r="B74" s="26" t="s">
        <v>54</v>
      </c>
      <c r="C74" s="22">
        <v>106138</v>
      </c>
      <c r="D74" s="23">
        <v>35359</v>
      </c>
      <c r="E74" s="21">
        <v>3</v>
      </c>
      <c r="F74" s="21" t="s">
        <v>23</v>
      </c>
      <c r="G74" s="22">
        <v>534</v>
      </c>
      <c r="H74" s="24">
        <f t="shared" si="13"/>
        <v>5.0311858146940775E-3</v>
      </c>
      <c r="I74" s="21" t="s">
        <v>23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</row>
    <row r="75" spans="1:35" ht="15.7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</row>
    <row r="76" spans="1:35" ht="15.7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</row>
    <row r="77" spans="1:35" ht="15.75" customHeight="1" x14ac:dyDescent="0.35">
      <c r="A77" s="18"/>
      <c r="B77" s="19" t="s">
        <v>37</v>
      </c>
      <c r="C77" s="20" t="s">
        <v>9</v>
      </c>
      <c r="D77" s="20" t="s">
        <v>12</v>
      </c>
      <c r="E77" s="20" t="s">
        <v>13</v>
      </c>
      <c r="F77" s="20" t="s">
        <v>16</v>
      </c>
      <c r="G77" s="20" t="s">
        <v>14</v>
      </c>
      <c r="H77" s="20" t="s">
        <v>15</v>
      </c>
      <c r="I77" s="20" t="s">
        <v>18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</row>
    <row r="78" spans="1:35" ht="15.75" customHeight="1" x14ac:dyDescent="0.3">
      <c r="A78" s="18"/>
      <c r="B78" s="27" t="s">
        <v>38</v>
      </c>
      <c r="C78" s="22">
        <v>37872</v>
      </c>
      <c r="D78" s="31">
        <v>12673</v>
      </c>
      <c r="E78" s="21">
        <v>3</v>
      </c>
      <c r="F78" s="21" t="s">
        <v>23</v>
      </c>
      <c r="G78" s="22">
        <v>208</v>
      </c>
      <c r="H78" s="24">
        <f t="shared" ref="H78:H81" si="14">G78/C78</f>
        <v>5.4921841994085337E-3</v>
      </c>
      <c r="I78" s="25"/>
      <c r="J78" s="18"/>
      <c r="K78" s="32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</row>
    <row r="79" spans="1:35" ht="15.75" customHeight="1" x14ac:dyDescent="0.3">
      <c r="A79" s="18"/>
      <c r="B79" s="27" t="s">
        <v>39</v>
      </c>
      <c r="C79" s="22">
        <v>62834</v>
      </c>
      <c r="D79" s="23">
        <v>20959</v>
      </c>
      <c r="E79" s="21">
        <v>3</v>
      </c>
      <c r="F79" s="21" t="s">
        <v>23</v>
      </c>
      <c r="G79" s="22">
        <v>315</v>
      </c>
      <c r="H79" s="24">
        <f t="shared" si="14"/>
        <v>5.0132094089187385E-3</v>
      </c>
      <c r="I79" s="25"/>
      <c r="J79" s="18"/>
      <c r="K79" s="32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</row>
    <row r="80" spans="1:35" ht="15.75" customHeight="1" x14ac:dyDescent="0.3">
      <c r="A80" s="18"/>
      <c r="B80" s="27" t="s">
        <v>40</v>
      </c>
      <c r="C80" s="22">
        <v>57501</v>
      </c>
      <c r="D80" s="23">
        <v>19247</v>
      </c>
      <c r="E80" s="21">
        <v>3</v>
      </c>
      <c r="F80" s="21" t="s">
        <v>23</v>
      </c>
      <c r="G80" s="22">
        <v>215</v>
      </c>
      <c r="H80" s="24">
        <f t="shared" si="14"/>
        <v>3.7390654075581294E-3</v>
      </c>
      <c r="I80" s="25"/>
      <c r="J80" s="18"/>
      <c r="K80" s="32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</row>
    <row r="81" spans="1:35" ht="15.75" customHeight="1" x14ac:dyDescent="0.3">
      <c r="A81" s="18"/>
      <c r="B81" s="27" t="s">
        <v>41</v>
      </c>
      <c r="C81" s="22">
        <v>17014</v>
      </c>
      <c r="D81" s="31">
        <v>5726</v>
      </c>
      <c r="E81" s="21">
        <v>3</v>
      </c>
      <c r="F81" s="21" t="s">
        <v>23</v>
      </c>
      <c r="G81" s="22">
        <v>83</v>
      </c>
      <c r="H81" s="24">
        <f t="shared" si="14"/>
        <v>4.8783354884213001E-3</v>
      </c>
      <c r="I81" s="25"/>
      <c r="J81" s="18"/>
      <c r="K81" s="32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</row>
    <row r="82" spans="1:35" ht="15.75" customHeight="1" x14ac:dyDescent="0.3">
      <c r="A82" s="18"/>
      <c r="B82" s="18"/>
      <c r="C82" s="18"/>
      <c r="D82" s="18"/>
      <c r="E82" s="28"/>
      <c r="F82" s="28"/>
      <c r="G82" s="28"/>
      <c r="H82" s="29"/>
      <c r="I82" s="30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</row>
    <row r="83" spans="1:35" ht="15.75" customHeight="1" x14ac:dyDescent="0.3">
      <c r="A83" s="18"/>
      <c r="B83" s="18"/>
      <c r="C83" s="28"/>
      <c r="D83" s="28"/>
      <c r="E83" s="28"/>
      <c r="F83" s="28"/>
      <c r="G83" s="28"/>
      <c r="H83" s="29"/>
      <c r="I83" s="30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</row>
    <row r="84" spans="1:35" ht="15.75" customHeight="1" x14ac:dyDescent="0.35">
      <c r="A84" s="18"/>
      <c r="B84" s="19" t="s">
        <v>42</v>
      </c>
      <c r="C84" s="20" t="s">
        <v>9</v>
      </c>
      <c r="D84" s="20" t="s">
        <v>12</v>
      </c>
      <c r="E84" s="20" t="s">
        <v>13</v>
      </c>
      <c r="F84" s="20" t="s">
        <v>16</v>
      </c>
      <c r="G84" s="20" t="s">
        <v>14</v>
      </c>
      <c r="H84" s="20" t="s">
        <v>15</v>
      </c>
      <c r="I84" s="20" t="s">
        <v>18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</row>
    <row r="85" spans="1:35" ht="15.75" customHeight="1" x14ac:dyDescent="0.3">
      <c r="A85" s="18"/>
      <c r="B85" s="27" t="s">
        <v>43</v>
      </c>
      <c r="C85" s="22">
        <v>108836</v>
      </c>
      <c r="D85" s="31">
        <v>36365</v>
      </c>
      <c r="E85" s="21">
        <v>3</v>
      </c>
      <c r="F85" s="21" t="s">
        <v>23</v>
      </c>
      <c r="G85" s="22">
        <v>506</v>
      </c>
      <c r="H85" s="24">
        <f t="shared" ref="H85:H86" si="15">G85/C85</f>
        <v>4.6491969568892644E-3</v>
      </c>
      <c r="I85" s="25"/>
      <c r="J85" s="18"/>
      <c r="K85" s="32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spans="1:35" ht="15.75" customHeight="1" x14ac:dyDescent="0.3">
      <c r="A86" s="18"/>
      <c r="B86" s="27" t="s">
        <v>44</v>
      </c>
      <c r="C86" s="22">
        <v>66385</v>
      </c>
      <c r="D86" s="23">
        <v>22240</v>
      </c>
      <c r="E86" s="21">
        <v>3</v>
      </c>
      <c r="F86" s="21" t="s">
        <v>23</v>
      </c>
      <c r="G86" s="22">
        <v>315</v>
      </c>
      <c r="H86" s="24">
        <f t="shared" si="15"/>
        <v>4.7450478270693684E-3</v>
      </c>
      <c r="I86" s="25"/>
      <c r="J86" s="18"/>
      <c r="K86" s="32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</row>
    <row r="87" spans="1:35" ht="15.75" customHeight="1" x14ac:dyDescent="0.3">
      <c r="A87" s="1"/>
      <c r="B87" s="1"/>
      <c r="C87" s="18"/>
      <c r="D87" s="1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.75" customHeight="1" x14ac:dyDescent="0.35">
      <c r="A89" s="15"/>
      <c r="B89" s="36" t="s">
        <v>55</v>
      </c>
      <c r="C89" s="37"/>
      <c r="D89" s="37"/>
      <c r="E89" s="18"/>
      <c r="F89" s="18"/>
      <c r="G89" s="18"/>
      <c r="H89" s="18"/>
      <c r="I89" s="18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 spans="1:35" ht="15.75" customHeight="1" x14ac:dyDescent="0.35">
      <c r="A90" s="15"/>
      <c r="B90" s="19" t="s">
        <v>28</v>
      </c>
      <c r="C90" s="20" t="s">
        <v>9</v>
      </c>
      <c r="D90" s="20" t="s">
        <v>12</v>
      </c>
      <c r="E90" s="20" t="s">
        <v>13</v>
      </c>
      <c r="F90" s="20" t="s">
        <v>16</v>
      </c>
      <c r="G90" s="20" t="s">
        <v>14</v>
      </c>
      <c r="H90" s="20" t="s">
        <v>15</v>
      </c>
      <c r="I90" s="20" t="s">
        <v>18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 spans="1:35" ht="15.75" customHeight="1" x14ac:dyDescent="0.3">
      <c r="A91" s="15"/>
      <c r="B91" s="21" t="s">
        <v>29</v>
      </c>
      <c r="C91" s="33">
        <v>85229</v>
      </c>
      <c r="D91" s="33">
        <v>28429</v>
      </c>
      <c r="E91" s="21">
        <v>3</v>
      </c>
      <c r="F91" s="21" t="s">
        <v>23</v>
      </c>
      <c r="G91" s="33">
        <v>409</v>
      </c>
      <c r="H91" s="24">
        <f t="shared" ref="H91:H93" si="16">G91/C91</f>
        <v>4.7988360769221743E-3</v>
      </c>
      <c r="I91" s="2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 spans="1:35" ht="15.75" customHeight="1" x14ac:dyDescent="0.3">
      <c r="A92" s="15"/>
      <c r="B92" s="21" t="s">
        <v>30</v>
      </c>
      <c r="C92" s="33">
        <v>2894</v>
      </c>
      <c r="D92" s="33">
        <v>965</v>
      </c>
      <c r="E92" s="21">
        <v>3</v>
      </c>
      <c r="F92" s="21" t="s">
        <v>23</v>
      </c>
      <c r="G92" s="33">
        <v>13</v>
      </c>
      <c r="H92" s="24">
        <f t="shared" si="16"/>
        <v>4.4920525224602624E-3</v>
      </c>
      <c r="I92" s="2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 spans="1:35" ht="15.75" customHeight="1" x14ac:dyDescent="0.3">
      <c r="A93" s="15"/>
      <c r="B93" s="21" t="s">
        <v>31</v>
      </c>
      <c r="C93" s="33">
        <v>37261</v>
      </c>
      <c r="D93" s="33">
        <v>12429</v>
      </c>
      <c r="E93" s="21">
        <v>3</v>
      </c>
      <c r="F93" s="21" t="s">
        <v>23</v>
      </c>
      <c r="G93" s="33">
        <v>174</v>
      </c>
      <c r="H93" s="24">
        <f t="shared" si="16"/>
        <v>4.6697619494914253E-3</v>
      </c>
      <c r="I93" s="2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 spans="1:35" ht="15.75" customHeight="1" x14ac:dyDescent="0.3">
      <c r="A94" s="15"/>
      <c r="B94" s="18"/>
      <c r="C94" s="18"/>
      <c r="D94" s="18"/>
      <c r="E94" s="18"/>
      <c r="F94" s="18"/>
      <c r="G94" s="18"/>
      <c r="H94" s="18"/>
      <c r="I94" s="18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 spans="1:35" ht="15.75" customHeight="1" x14ac:dyDescent="0.3">
      <c r="A95" s="15"/>
      <c r="B95" s="18"/>
      <c r="C95" s="18"/>
      <c r="D95" s="18"/>
      <c r="E95" s="18"/>
      <c r="F95" s="18"/>
      <c r="G95" s="18"/>
      <c r="H95" s="18"/>
      <c r="I95" s="18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 spans="1:35" ht="15.75" customHeight="1" x14ac:dyDescent="0.35">
      <c r="A96" s="15"/>
      <c r="B96" s="19" t="s">
        <v>32</v>
      </c>
      <c r="C96" s="20" t="s">
        <v>9</v>
      </c>
      <c r="D96" s="20" t="s">
        <v>12</v>
      </c>
      <c r="E96" s="20" t="s">
        <v>13</v>
      </c>
      <c r="F96" s="20" t="s">
        <v>16</v>
      </c>
      <c r="G96" s="20" t="s">
        <v>14</v>
      </c>
      <c r="H96" s="20" t="s">
        <v>15</v>
      </c>
      <c r="I96" s="20" t="s">
        <v>18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 spans="1:35" ht="15.75" customHeight="1" x14ac:dyDescent="0.3">
      <c r="A97" s="15"/>
      <c r="B97" s="27" t="s">
        <v>56</v>
      </c>
      <c r="C97" s="33">
        <v>3121</v>
      </c>
      <c r="D97" s="33">
        <v>1041</v>
      </c>
      <c r="E97" s="21">
        <v>3</v>
      </c>
      <c r="F97" s="21" t="s">
        <v>23</v>
      </c>
      <c r="G97" s="33">
        <v>12</v>
      </c>
      <c r="H97" s="24">
        <f t="shared" ref="H97:H100" si="17">G97/C97</f>
        <v>3.8449214995193849E-3</v>
      </c>
      <c r="I97" s="21" t="s">
        <v>23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 spans="1:35" ht="15.75" customHeight="1" x14ac:dyDescent="0.3">
      <c r="A98" s="15"/>
      <c r="B98" s="27" t="s">
        <v>57</v>
      </c>
      <c r="C98" s="33">
        <v>31332</v>
      </c>
      <c r="D98" s="33">
        <v>10451</v>
      </c>
      <c r="E98" s="21">
        <v>3</v>
      </c>
      <c r="F98" s="21" t="s">
        <v>23</v>
      </c>
      <c r="G98" s="33">
        <v>144</v>
      </c>
      <c r="H98" s="24">
        <f t="shared" si="17"/>
        <v>4.5959402527767142E-3</v>
      </c>
      <c r="I98" s="21" t="s">
        <v>23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 spans="1:35" ht="15.75" customHeight="1" x14ac:dyDescent="0.3">
      <c r="A99" s="15"/>
      <c r="B99" s="27" t="s">
        <v>58</v>
      </c>
      <c r="C99" s="33">
        <v>8022</v>
      </c>
      <c r="D99" s="33">
        <v>2676</v>
      </c>
      <c r="E99" s="21">
        <v>3</v>
      </c>
      <c r="F99" s="21" t="s">
        <v>23</v>
      </c>
      <c r="G99" s="33">
        <v>41</v>
      </c>
      <c r="H99" s="24">
        <f t="shared" si="17"/>
        <v>5.1109449015208181E-3</v>
      </c>
      <c r="I99" s="21" t="s">
        <v>23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 spans="1:35" ht="15.75" customHeight="1" x14ac:dyDescent="0.3">
      <c r="A100" s="15"/>
      <c r="B100" s="27" t="s">
        <v>59</v>
      </c>
      <c r="C100" s="33">
        <v>82909</v>
      </c>
      <c r="D100" s="33">
        <v>27655</v>
      </c>
      <c r="E100" s="21">
        <v>3</v>
      </c>
      <c r="F100" s="21" t="s">
        <v>23</v>
      </c>
      <c r="G100" s="33">
        <v>399</v>
      </c>
      <c r="H100" s="24">
        <f t="shared" si="17"/>
        <v>4.8125052768698212E-3</v>
      </c>
      <c r="I100" s="21" t="s">
        <v>23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 spans="1:35" ht="15.75" customHeight="1" x14ac:dyDescent="0.3">
      <c r="A101" s="15"/>
      <c r="B101" s="18"/>
      <c r="C101" s="18"/>
      <c r="D101" s="18"/>
      <c r="E101" s="18"/>
      <c r="F101" s="18"/>
      <c r="G101" s="18"/>
      <c r="H101" s="18"/>
      <c r="I101" s="18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 spans="1:35" ht="15.75" customHeight="1" x14ac:dyDescent="0.3">
      <c r="A102" s="15"/>
      <c r="B102" s="18"/>
      <c r="C102" s="18"/>
      <c r="D102" s="18"/>
      <c r="E102" s="18"/>
      <c r="F102" s="18"/>
      <c r="G102" s="18"/>
      <c r="H102" s="18"/>
      <c r="I102" s="18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 spans="1:35" ht="15.75" customHeight="1" x14ac:dyDescent="0.35">
      <c r="A103" s="15"/>
      <c r="B103" s="19" t="s">
        <v>37</v>
      </c>
      <c r="C103" s="20" t="s">
        <v>9</v>
      </c>
      <c r="D103" s="20" t="s">
        <v>12</v>
      </c>
      <c r="E103" s="20" t="s">
        <v>13</v>
      </c>
      <c r="F103" s="20" t="s">
        <v>16</v>
      </c>
      <c r="G103" s="20" t="s">
        <v>14</v>
      </c>
      <c r="H103" s="20" t="s">
        <v>15</v>
      </c>
      <c r="I103" s="20" t="s">
        <v>18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 spans="1:35" ht="15.75" customHeight="1" x14ac:dyDescent="0.3">
      <c r="A104" s="15"/>
      <c r="B104" s="27" t="s">
        <v>38</v>
      </c>
      <c r="C104" s="33">
        <v>30735</v>
      </c>
      <c r="D104" s="33">
        <v>10252</v>
      </c>
      <c r="E104" s="21">
        <v>3</v>
      </c>
      <c r="F104" s="21" t="s">
        <v>23</v>
      </c>
      <c r="G104" s="33">
        <v>127</v>
      </c>
      <c r="H104" s="24">
        <f t="shared" ref="H104:H107" si="18">G104/C104</f>
        <v>4.1320969578656254E-3</v>
      </c>
      <c r="I104" s="2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 spans="1:35" ht="15.75" customHeight="1" x14ac:dyDescent="0.3">
      <c r="A105" s="15"/>
      <c r="B105" s="27" t="s">
        <v>39</v>
      </c>
      <c r="C105" s="33">
        <v>42097</v>
      </c>
      <c r="D105" s="33">
        <v>14042</v>
      </c>
      <c r="E105" s="21">
        <v>3</v>
      </c>
      <c r="F105" s="21" t="s">
        <v>23</v>
      </c>
      <c r="G105" s="33">
        <v>219</v>
      </c>
      <c r="H105" s="24">
        <f t="shared" si="18"/>
        <v>5.2022709456730886E-3</v>
      </c>
      <c r="I105" s="2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 spans="1:35" ht="15.75" customHeight="1" x14ac:dyDescent="0.3">
      <c r="A106" s="15"/>
      <c r="B106" s="27" t="s">
        <v>40</v>
      </c>
      <c r="C106" s="33">
        <v>38234</v>
      </c>
      <c r="D106" s="33">
        <v>12753</v>
      </c>
      <c r="E106" s="21">
        <v>3</v>
      </c>
      <c r="F106" s="21" t="s">
        <v>23</v>
      </c>
      <c r="G106" s="33">
        <v>188</v>
      </c>
      <c r="H106" s="24">
        <f t="shared" si="18"/>
        <v>4.9170895014908197E-3</v>
      </c>
      <c r="I106" s="2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 spans="1:35" ht="15.75" customHeight="1" x14ac:dyDescent="0.3">
      <c r="A107" s="15"/>
      <c r="B107" s="27" t="s">
        <v>41</v>
      </c>
      <c r="C107" s="33">
        <v>14318</v>
      </c>
      <c r="D107" s="33">
        <v>4776</v>
      </c>
      <c r="E107" s="21">
        <v>3</v>
      </c>
      <c r="F107" s="21" t="s">
        <v>23</v>
      </c>
      <c r="G107" s="33">
        <v>62</v>
      </c>
      <c r="H107" s="24">
        <f t="shared" si="18"/>
        <v>4.3302137169995807E-3</v>
      </c>
      <c r="I107" s="2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 spans="1:35" ht="15.75" customHeight="1" x14ac:dyDescent="0.3">
      <c r="A108" s="15"/>
      <c r="B108" s="18"/>
      <c r="C108" s="28"/>
      <c r="D108" s="28"/>
      <c r="E108" s="28"/>
      <c r="F108" s="28"/>
      <c r="G108" s="28"/>
      <c r="H108" s="29"/>
      <c r="I108" s="30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 spans="1:35" ht="15.75" customHeight="1" x14ac:dyDescent="0.3">
      <c r="A109" s="15"/>
      <c r="B109" s="18"/>
      <c r="C109" s="28"/>
      <c r="D109" s="28"/>
      <c r="E109" s="28"/>
      <c r="F109" s="28"/>
      <c r="G109" s="28"/>
      <c r="H109" s="29"/>
      <c r="I109" s="30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 spans="1:35" ht="15.75" customHeight="1" x14ac:dyDescent="0.35">
      <c r="A110" s="15"/>
      <c r="B110" s="19" t="s">
        <v>42</v>
      </c>
      <c r="C110" s="20" t="s">
        <v>9</v>
      </c>
      <c r="D110" s="20" t="s">
        <v>12</v>
      </c>
      <c r="E110" s="20" t="s">
        <v>13</v>
      </c>
      <c r="F110" s="20" t="s">
        <v>16</v>
      </c>
      <c r="G110" s="20" t="s">
        <v>14</v>
      </c>
      <c r="H110" s="20" t="s">
        <v>15</v>
      </c>
      <c r="I110" s="20" t="s">
        <v>18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 spans="1:35" ht="15.75" customHeight="1" x14ac:dyDescent="0.3">
      <c r="A111" s="15"/>
      <c r="B111" s="27" t="s">
        <v>43</v>
      </c>
      <c r="C111" s="33">
        <v>81349</v>
      </c>
      <c r="D111" s="33">
        <v>27135</v>
      </c>
      <c r="E111" s="21">
        <v>3</v>
      </c>
      <c r="F111" s="21" t="s">
        <v>23</v>
      </c>
      <c r="G111" s="33">
        <v>369</v>
      </c>
      <c r="H111" s="24">
        <f t="shared" ref="H111:H112" si="19">G111/C111</f>
        <v>4.5360115059804055E-3</v>
      </c>
      <c r="I111" s="2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 spans="1:35" ht="15.75" customHeight="1" x14ac:dyDescent="0.3">
      <c r="A112" s="15"/>
      <c r="B112" s="27" t="s">
        <v>44</v>
      </c>
      <c r="C112" s="33">
        <v>44035</v>
      </c>
      <c r="D112" s="33">
        <v>14688</v>
      </c>
      <c r="E112" s="21">
        <v>3</v>
      </c>
      <c r="F112" s="21" t="s">
        <v>23</v>
      </c>
      <c r="G112" s="33">
        <v>227</v>
      </c>
      <c r="H112" s="24">
        <f t="shared" si="19"/>
        <v>5.1549903485863515E-3</v>
      </c>
      <c r="I112" s="2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 spans="1:35" ht="15.75" customHeigh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 spans="1:35" ht="15.75" customHeigh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 spans="1:35" ht="15.7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 spans="1:35" ht="15.7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 spans="1:35" ht="15.7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 spans="1:35" ht="15.7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 spans="1:35" ht="15.7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 spans="1:35" ht="15.75" customHeigh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 spans="1:35" ht="15.75" customHeigh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 spans="1:35" ht="15.7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 spans="1:35" ht="15.7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 spans="1:35" ht="15.7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 spans="1:35" ht="15.7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 spans="1:35" ht="15.7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 spans="1:35" ht="15.7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 spans="1:35" ht="15.7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 spans="1:35" ht="15.7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 spans="1:35" ht="15.7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 spans="1:35" ht="15.7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 spans="1:35" ht="15.7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 spans="1:35" ht="15.7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 spans="1:35" ht="15.7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 spans="1:35" ht="15.7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 spans="1:35" ht="15.7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 spans="1:35" ht="15.7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 spans="1:35" ht="15.7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 spans="1:35" ht="15.7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 spans="1:35" ht="15.7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 spans="1:35" ht="15.7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 spans="1:35" ht="15.7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 spans="1:35" ht="15.7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 spans="1:35" ht="15.7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 spans="1:35" ht="15.7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 spans="1:35" ht="15.7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 spans="1:35" ht="15.7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 spans="1:35" ht="15.7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 spans="1:35" ht="15.7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 spans="1:35" ht="15.7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 spans="1:35" ht="15.7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 spans="1:35" ht="15.7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 spans="1:35" ht="15.7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 spans="1:35" ht="15.7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 spans="1:35" ht="15.7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 spans="1:35" ht="15.7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 spans="1:35" ht="15.7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 spans="1:35" ht="15.7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 spans="1:35" ht="15.7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 spans="1:35" ht="15.75" customHeigh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 spans="1:35" ht="15.75" customHeigh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 spans="1:35" ht="15.75" customHeigh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 spans="1:35" ht="15.75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 spans="1:35" ht="15.75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 spans="1:35" ht="15.7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 spans="1:35" ht="15.7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 spans="1:35" ht="15.75" customHeigh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 spans="1:35" ht="15.75" customHeigh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 spans="1:35" ht="15.7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 spans="1:35" ht="15.7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 spans="1:35" ht="15.75" customHeigh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 spans="1:35" ht="15.75" customHeigh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 spans="1:35" ht="15.75" customHeigh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 spans="1:35" ht="15.75" customHeigh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 spans="1:35" ht="15.75" customHeigh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 spans="1:35" ht="15.75" customHeigh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 spans="1:35" ht="15.75" customHeigh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 spans="1:35" ht="15.75" customHeigh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 spans="1:35" ht="15.75" customHeigh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 spans="1:35" ht="15.75" customHeigh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 spans="1:35" ht="15.75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 spans="1:35" ht="15.75" customHeigh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 spans="1:35" ht="15.75" customHeigh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 spans="1:35" ht="15.75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 spans="1:35" ht="15.75" customHeigh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 spans="1:35" ht="15.75" customHeigh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 spans="1:35" ht="15.75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 spans="1:35" ht="15.75" customHeigh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 spans="1:35" ht="15.75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 spans="1:35" ht="15.75" customHeigh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 spans="1:35" ht="15.75" customHeigh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 spans="1:35" ht="15.75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 spans="1:35" ht="15.75" customHeigh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 spans="1:35" ht="15.75" customHeigh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 spans="1:35" ht="15.75" customHeigh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 spans="1:35" ht="15.75" customHeigh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 spans="1:35" ht="15.75" customHeigh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 spans="1:35" ht="15.75" customHeigh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 spans="1:35" ht="15.75" customHeigh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 spans="1:35" ht="15.75" customHeigh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 spans="1:35" ht="15.75" customHeigh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 spans="1:35" ht="15.75" customHeigh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 spans="1:35" ht="15.7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 spans="1:35" ht="15.75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 spans="1:35" ht="15.75" customHeigh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 spans="1:35" ht="15.75" customHeight="1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 spans="1:35" ht="15.75" customHeight="1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 spans="1:35" ht="15.75" customHeight="1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 spans="1:35" ht="15.75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 spans="1:35" ht="15.75" customHeight="1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 spans="1:35" ht="15.75" customHeight="1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 spans="1:35" ht="15.75" customHeight="1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 spans="1:35" ht="15.75" customHeight="1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 spans="1:35" ht="15.75" customHeight="1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 spans="1:35" ht="15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 spans="1:35" ht="15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 spans="1:35" ht="15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 spans="1:35" ht="15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 spans="1:35" ht="15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 spans="1:35" ht="15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 spans="1:35" ht="15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 spans="1:35" ht="15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 spans="1:35" ht="15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 spans="1:35" ht="15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 spans="1:35" ht="15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 spans="1:35" ht="15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 spans="1:35" ht="15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 spans="1:35" ht="15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 spans="1:35" ht="15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 spans="1:35" ht="15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 spans="1:35" ht="15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 spans="1:35" ht="15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 spans="1:35" ht="15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 spans="1:35" ht="15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 spans="1:35" ht="15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 spans="1:35" ht="15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 spans="1:35" ht="15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 spans="1:35" ht="15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 spans="1:35" ht="15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 spans="1:35" ht="15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 spans="1:35" ht="15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</row>
    <row r="242" spans="1:35" ht="15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</row>
    <row r="243" spans="1:35" ht="15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</row>
    <row r="244" spans="1:35" ht="15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</row>
    <row r="245" spans="1:35" ht="15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</row>
    <row r="246" spans="1:35" ht="15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</row>
    <row r="247" spans="1:35" ht="15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</row>
    <row r="248" spans="1:35" ht="15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</row>
    <row r="249" spans="1:35" ht="15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</row>
    <row r="250" spans="1:35" ht="15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</row>
    <row r="251" spans="1:35" ht="15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</row>
    <row r="252" spans="1:35" ht="15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</row>
    <row r="253" spans="1:35" ht="15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</row>
    <row r="254" spans="1:35" ht="15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</row>
    <row r="255" spans="1:35" ht="15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</row>
    <row r="256" spans="1:35" ht="15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</row>
    <row r="257" spans="1:35" ht="15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 spans="1:35" ht="15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</row>
    <row r="259" spans="1:35" ht="15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</row>
    <row r="260" spans="1:35" ht="15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</row>
    <row r="261" spans="1:35" ht="15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</row>
    <row r="262" spans="1:35" ht="15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 spans="1:35" ht="15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</row>
    <row r="264" spans="1:35" ht="15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</row>
    <row r="265" spans="1:35" ht="15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</row>
    <row r="266" spans="1:35" ht="15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</row>
    <row r="267" spans="1:35" ht="15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 spans="1:35" ht="15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</row>
    <row r="269" spans="1:35" ht="15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</row>
    <row r="270" spans="1:35" ht="15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</row>
    <row r="271" spans="1:35" ht="15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</row>
    <row r="272" spans="1:35" ht="15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 spans="1:35" ht="15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 spans="1:35" ht="15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 spans="1:35" ht="15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</row>
    <row r="276" spans="1:35" ht="15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</row>
    <row r="277" spans="1:35" ht="15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</row>
    <row r="278" spans="1:35" ht="15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</row>
    <row r="279" spans="1:35" ht="15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</row>
    <row r="280" spans="1:35" ht="15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</row>
    <row r="281" spans="1:35" ht="15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</row>
    <row r="282" spans="1:35" ht="15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 spans="1:35" ht="15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</row>
    <row r="284" spans="1:35" ht="15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 spans="1:35" ht="15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</row>
    <row r="286" spans="1:35" ht="15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</row>
    <row r="287" spans="1:35" ht="15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</row>
    <row r="288" spans="1:35" ht="15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 spans="1:35" ht="15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 spans="1:35" ht="15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</row>
    <row r="291" spans="1:35" ht="15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</row>
    <row r="292" spans="1:35" ht="15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</row>
    <row r="293" spans="1:35" ht="15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</row>
    <row r="294" spans="1:35" ht="15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</row>
    <row r="295" spans="1:35" ht="15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</row>
    <row r="296" spans="1:35" ht="15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</row>
    <row r="297" spans="1:35" ht="15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</row>
    <row r="298" spans="1:35" ht="15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</row>
    <row r="299" spans="1:35" ht="15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</row>
    <row r="300" spans="1:35" ht="15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</row>
    <row r="301" spans="1:35" ht="15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</row>
    <row r="302" spans="1:35" ht="15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</row>
    <row r="303" spans="1:35" ht="15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 spans="1:35" ht="15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 spans="1:35" ht="15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 spans="1:35" ht="15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 spans="1:35" ht="15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</row>
    <row r="308" spans="1:35" ht="15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 spans="1:35" ht="15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</row>
    <row r="310" spans="1:35" ht="15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 spans="1:35" ht="15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</row>
    <row r="312" spans="1:35" ht="15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 spans="1:35" ht="15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</row>
    <row r="314" spans="1:35" ht="15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</row>
    <row r="315" spans="1:35" ht="15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</row>
    <row r="316" spans="1:35" ht="15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</row>
    <row r="317" spans="1:35" ht="15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</row>
    <row r="318" spans="1:35" ht="15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 spans="1:35" ht="15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 spans="1:35" ht="15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 spans="1:35" ht="15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</row>
    <row r="322" spans="1:35" ht="15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</row>
    <row r="323" spans="1:35" ht="15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</row>
    <row r="324" spans="1:35" ht="15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</row>
    <row r="325" spans="1:35" ht="15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</row>
    <row r="326" spans="1:35" ht="15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</row>
    <row r="327" spans="1:35" ht="15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</row>
    <row r="328" spans="1:35" ht="15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 spans="1:35" ht="15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</row>
    <row r="330" spans="1:35" ht="15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</row>
    <row r="331" spans="1:35" ht="15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</row>
    <row r="332" spans="1:35" ht="15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</row>
    <row r="333" spans="1:35" ht="15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</row>
    <row r="334" spans="1:35" ht="15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</row>
    <row r="335" spans="1:35" ht="15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</row>
    <row r="336" spans="1:35" ht="15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</row>
    <row r="337" spans="1:35" ht="15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</row>
    <row r="338" spans="1:35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</row>
    <row r="339" spans="1:35" ht="15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 spans="1:35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 spans="1:35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 spans="1:35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 spans="1:35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 spans="1:35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 spans="1:35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 spans="1:35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 spans="1:35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 spans="1:35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 spans="1:35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 spans="1:35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 spans="1:35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 spans="1:35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 spans="1:35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 spans="1:35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 spans="1:35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 spans="1:35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 spans="1:35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 spans="1:35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 spans="1:35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 spans="1:35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 spans="1:35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 spans="1:35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 spans="1:35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 spans="1:35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 spans="1:35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 spans="1:35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 spans="1:35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 spans="1:35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 spans="1:35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</row>
    <row r="370" spans="1:35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</row>
    <row r="371" spans="1:35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 spans="1:35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 spans="1:35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 spans="1:35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 spans="1:35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 spans="1:35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 spans="1:35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 spans="1:35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 spans="1:35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 spans="1:35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 spans="1:35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 spans="1:35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 spans="1:35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 spans="1:35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 spans="1:35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 spans="1:35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 spans="1:35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 spans="1:35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 spans="1:35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 spans="1:35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 spans="1:35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 spans="1:35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 spans="1:35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 spans="1:35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 spans="1:35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 spans="1:35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 spans="1:35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 spans="1:35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 spans="1:35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 spans="1:35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 spans="1:35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 spans="1:35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 spans="1:35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 spans="1:35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 spans="1:35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 spans="1:35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 spans="1:35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 spans="1:35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 spans="1:35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 spans="1:35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 spans="1:35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 spans="1:35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 spans="1:35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 spans="1:35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 spans="1:35" ht="15.7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 spans="1:35" ht="15.7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 spans="1:35" ht="15.7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 spans="1:35" ht="15.7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 spans="1:35" ht="15.7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 spans="1:35" ht="15.7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 spans="1:35" ht="15.7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 spans="1:35" ht="15.7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 spans="1:35" ht="15.7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 spans="1:35" ht="15.7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 spans="1:35" ht="15.7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 spans="1:35" ht="15.7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 spans="1:35" ht="15.7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 spans="1:35" ht="15.7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 spans="1:35" ht="15.7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 spans="1:35" ht="15.7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 spans="1:35" ht="15.7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 spans="1:35" ht="15.7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 spans="1:35" ht="15.7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 spans="1:35" ht="15.7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 spans="1:35" ht="15.7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 spans="1:35" ht="15.7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 spans="1:35" ht="15.7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 spans="1:35" ht="15.7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 spans="1:35" ht="15.7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 spans="1:35" ht="15.7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 spans="1:35" ht="15.7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 spans="1:35" ht="15.7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 spans="1:35" ht="15.7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 spans="1:35" ht="15.7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 spans="1:35" ht="15.7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 spans="1:35" ht="15.7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 spans="1:35" ht="15.7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 spans="1:35" ht="15.7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 spans="1:35" ht="15.7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 spans="1:35" ht="15.7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 spans="1:35" ht="15.7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 spans="1:35" ht="15.7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 spans="1:35" ht="15.7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 spans="1:35" ht="15.7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 spans="1:35" ht="15.7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 spans="1:35" ht="15.7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 spans="1:35" ht="15.7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 spans="1:35" ht="15.7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 spans="1:35" ht="15.7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 spans="1:35" ht="15.7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 spans="1:35" ht="15.7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 spans="1:35" ht="15.7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 spans="1:35" ht="15.7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 spans="1:35" ht="15.7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 spans="1:35" ht="15.7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 spans="1:35" ht="15.7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 spans="1:35" ht="15.7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 spans="1:35" ht="15.7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 spans="1:35" ht="15.7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</row>
    <row r="470" spans="1:35" ht="15.7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 spans="1:35" ht="15.7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 spans="1:35" ht="15.7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 spans="1:35" ht="15.7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 spans="1:35" ht="15.7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 spans="1:35" ht="15.7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 spans="1:35" ht="15.7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 spans="1:35" ht="15.7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 spans="1:35" ht="15.7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 spans="1:35" ht="15.7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 spans="1:35" ht="15.7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 spans="1:35" ht="15.7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 spans="1:35" ht="15.7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 spans="1:35" ht="15.7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 spans="1:35" ht="15.7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 spans="1:35" ht="15.7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 spans="1:35" ht="15.7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 spans="1:35" ht="15.7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 spans="1:35" ht="15.7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 spans="1:35" ht="15.7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 spans="1:35" ht="15.7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 spans="1:35" ht="15.7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 spans="1:35" ht="15.7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 spans="1:35" ht="15.7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 spans="1:35" ht="15.7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 spans="1:35" ht="15.7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</row>
    <row r="496" spans="1:35" ht="15.7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 spans="1:35" ht="15.7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 spans="1:35" ht="15.7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</row>
    <row r="499" spans="1:35" ht="15.7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 spans="1:35" ht="15.7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 spans="1:35" ht="15.7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</row>
    <row r="502" spans="1:35" ht="15.7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 spans="1:35" ht="15.7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 spans="1:35" ht="15.7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 spans="1:35" ht="15.7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 spans="1:35" ht="15.7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 spans="1:35" ht="15.7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 spans="1:35" ht="15.7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 spans="1:35" ht="15.7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 spans="1:35" ht="15.7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 spans="1:35" ht="15.7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</row>
    <row r="512" spans="1:35" ht="15.7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 spans="1:35" ht="15.7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 spans="1:35" ht="15.7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 spans="1:35" ht="15.7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 spans="1:35" ht="15.7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 spans="1:35" ht="15.7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 spans="1:35" ht="15.7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 spans="1:35" ht="15.7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 spans="1:35" ht="15.7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 spans="1:35" ht="15.7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 spans="1:35" ht="15.7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 spans="1:35" ht="15.7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 spans="1:35" ht="15.7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 spans="1:35" ht="15.7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 spans="1:35" ht="15.7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 spans="1:35" ht="15.7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 spans="1:35" ht="15.7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 spans="1:35" ht="15.7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</row>
    <row r="530" spans="1:35" ht="15.7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 spans="1:35" ht="15.7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 spans="1:35" ht="15.7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 spans="1:35" ht="15.7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 spans="1:35" ht="15.7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 spans="1:35" ht="15.7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 spans="1:35" ht="15.7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 spans="1:35" ht="15.7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 spans="1:35" ht="15.7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 spans="1:35" ht="15.7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 spans="1:35" ht="15.7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 spans="1:35" ht="15.7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 spans="1:35" ht="15.7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 spans="1:35" ht="15.7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 spans="1:35" ht="15.7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 spans="1:35" ht="15.7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 spans="1:35" ht="15.7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 spans="1:35" ht="15.7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 spans="1:35" ht="15.7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 spans="1:35" ht="15.7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 spans="1:35" ht="15.7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</row>
    <row r="551" spans="1:35" ht="15.7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 spans="1:35" ht="15.7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 spans="1:35" ht="15.7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 spans="1:35" ht="15.7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 spans="1:35" ht="15.7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 spans="1:35" ht="15.7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</row>
    <row r="557" spans="1:35" ht="15.7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 spans="1:35" ht="15.7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 spans="1:35" ht="15.7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 spans="1:35" ht="15.7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 spans="1:35" ht="15.7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 spans="1:35" ht="15.7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 spans="1:35" ht="15.7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 spans="1:35" ht="15.7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 spans="1:35" ht="15.7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 spans="1:35" ht="15.7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 spans="1:35" ht="15.7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 spans="1:35" ht="15.7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 spans="1:35" ht="15.7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 spans="1:35" ht="15.7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 spans="1:35" ht="15.7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 spans="1:35" ht="15.7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 spans="1:35" ht="15.7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 spans="1:35" ht="15.7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 spans="1:35" ht="15.7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 spans="1:35" ht="15.7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 spans="1:35" ht="15.7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 spans="1:35" ht="15.7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 spans="1:35" ht="15.7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 spans="1:35" ht="15.7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 spans="1:35" ht="15.7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 spans="1:35" ht="15.7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 spans="1:35" ht="15.7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</row>
    <row r="584" spans="1:35" ht="15.7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 spans="1:35" ht="15.7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 spans="1:35" ht="15.7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 spans="1:35" ht="15.7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 spans="1:35" ht="15.7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 spans="1:35" ht="15.7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 spans="1:35" ht="15.7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 spans="1:35" ht="15.7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 spans="1:35" ht="15.7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 spans="1:35" ht="15.7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 spans="1:35" ht="15.7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 spans="1:35" ht="15.7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 spans="1:35" ht="15.7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 spans="1:35" ht="15.7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 spans="1:35" ht="15.7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 spans="1:35" ht="15.7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 spans="1:35" ht="15.7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 spans="1:35" ht="15.7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 spans="1:35" ht="15.7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 spans="1:35" ht="15.7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 spans="1:35" ht="15.7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 spans="1:35" ht="15.7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 spans="1:35" ht="15.7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 spans="1:35" ht="15.7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 spans="1:35" ht="15.7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 spans="1:35" ht="15.7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 spans="1:35" ht="15.7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 spans="1:35" ht="15.7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</row>
    <row r="612" spans="1:35" ht="15.7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 spans="1:35" ht="15.7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 spans="1:35" ht="15.7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 spans="1:35" ht="15.7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 spans="1:35" ht="15.7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 spans="1:35" ht="15.7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 spans="1:35" ht="15.7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 spans="1:35" ht="15.7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 spans="1:35" ht="15.7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 spans="1:35" ht="15.7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 spans="1:35" ht="15.7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</row>
    <row r="623" spans="1:35" ht="15.7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 spans="1:35" ht="15.7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 spans="1:35" ht="15.7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 spans="1:35" ht="15.7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 spans="1:35" ht="15.7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 spans="1:35" ht="15.7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 spans="1:35" ht="15.7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</row>
    <row r="630" spans="1:35" ht="15.7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</row>
    <row r="631" spans="1:35" ht="15.7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</row>
    <row r="632" spans="1:35" ht="15.7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 spans="1:35" ht="15.7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 spans="1:35" ht="15.7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 spans="1:35" ht="15.7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 spans="1:35" ht="15.7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 spans="1:35" ht="15.7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 spans="1:35" ht="15.7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 spans="1:35" ht="15.7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 spans="1:35" ht="15.7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 spans="1:35" ht="15.7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 spans="1:35" ht="15.7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 spans="1:35" ht="15.7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 spans="1:35" ht="15.7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 spans="1:35" ht="15.7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 spans="1:35" ht="15.7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 spans="1:35" ht="15.7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 spans="1:35" ht="15.7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 spans="1:35" ht="15.7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 spans="1:35" ht="15.7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 spans="1:35" ht="15.7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 spans="1:35" ht="15.7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 spans="1:35" ht="15.7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 spans="1:35" ht="15.7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 spans="1:35" ht="15.7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 spans="1:35" ht="15.7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 spans="1:35" ht="15.7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 spans="1:35" ht="15.7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 spans="1:35" ht="15.7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 spans="1:35" ht="15.7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 spans="1:35" ht="15.7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</row>
    <row r="662" spans="1:35" ht="15.7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 spans="1:35" ht="15.7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</row>
    <row r="664" spans="1:35" ht="15.7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 spans="1:35" ht="15.7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 spans="1:35" ht="15.7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 spans="1:35" ht="15.7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 spans="1:35" ht="15.7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 spans="1:35" ht="15.7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 spans="1:35" ht="15.7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 spans="1:35" ht="15.7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 spans="1:35" ht="15.7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 spans="1:35" ht="15.7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 spans="1:35" ht="15.7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 spans="1:35" ht="15.7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 spans="1:35" ht="15.7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 spans="1:35" ht="15.7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 spans="1:35" ht="15.7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 spans="1:35" ht="15.7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 spans="1:35" ht="15.7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 spans="1:35" ht="15.7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 spans="1:35" ht="15.7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 spans="1:35" ht="15.7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 spans="1:35" ht="15.7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 spans="1:35" ht="15.7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</row>
    <row r="686" spans="1:35" ht="15.7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 spans="1:35" ht="15.7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 spans="1:35" ht="15.7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 spans="1:35" ht="15.7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 spans="1:35" ht="15.7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 spans="1:35" ht="15.7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 spans="1:35" ht="15.7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</row>
    <row r="693" spans="1:35" ht="15.7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 spans="1:35" ht="15.7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 spans="1:35" ht="15.7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 spans="1:35" ht="15.7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 spans="1:35" ht="15.7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 spans="1:35" ht="15.7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 spans="1:35" ht="15.7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 spans="1:35" ht="15.7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</row>
    <row r="701" spans="1:35" ht="15.7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 spans="1:35" ht="15.7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</row>
    <row r="703" spans="1:35" ht="15.7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 spans="1:35" ht="15.7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 spans="1:35" ht="15.7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 spans="1:35" ht="15.7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 spans="1:35" ht="15.7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 spans="1:35" ht="15.7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 spans="1:35" ht="15.7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 spans="1:35" ht="15.7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 spans="1:35" ht="15.7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 spans="1:35" ht="15.7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 spans="1:35" ht="15.7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 spans="1:35" ht="15.7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 spans="1:35" ht="15.7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 spans="1:35" ht="15.7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 spans="1:35" ht="15.7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 spans="1:35" ht="15.7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 spans="1:35" ht="15.7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</row>
    <row r="720" spans="1:35" ht="15.7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 spans="1:35" ht="15.7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</row>
    <row r="722" spans="1:35" ht="15.7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</row>
    <row r="723" spans="1:35" ht="15.7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 spans="1:35" ht="15.7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 spans="1:35" ht="15.7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 spans="1:35" ht="15.7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 spans="1:35" ht="15.7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 spans="1:35" ht="15.7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 spans="1:35" ht="15.7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 spans="1:35" ht="15.7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 spans="1:35" ht="15.7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 spans="1:35" ht="15.7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 spans="1:35" ht="15.7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 spans="1:35" ht="15.7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 spans="1:35" ht="15.7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</row>
    <row r="736" spans="1:35" ht="15.7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 spans="1:35" ht="15.7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 spans="1:35" ht="15.7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 spans="1:35" ht="15.7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 spans="1:35" ht="15.7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</sheetData>
  <mergeCells count="5">
    <mergeCell ref="B2:G2"/>
    <mergeCell ref="B63:D63"/>
    <mergeCell ref="B89:D89"/>
    <mergeCell ref="B12:D12"/>
    <mergeCell ref="B38:D3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MPN &amp; CPN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2026-05-06T12:31:13Z</dcterms:modified>
</cp:coreProperties>
</file>