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30"/>
  </bookViews>
  <sheets>
    <sheet name="REACH" sheetId="11" r:id="rId1"/>
    <sheet name="DATE" sheetId="1" r:id="rId2"/>
    <sheet name="APP URL" sheetId="3" r:id="rId3"/>
    <sheet name="TIME OF DAY" sheetId="2" r:id="rId4"/>
    <sheet name="EXCHANGE" sheetId="4" r:id="rId5"/>
    <sheet name="DEVICE" sheetId="5" r:id="rId6"/>
    <sheet name="CREATIVE" sheetId="6" r:id="rId7"/>
    <sheet name="CITY" sheetId="7" r:id="rId8"/>
    <sheet name="AGE" sheetId="9" r:id="rId9"/>
    <sheet name="GENDER" sheetId="10" r:id="rId10"/>
  </sheets>
  <definedNames>
    <definedName name="_xlnm._FilterDatabase" localSheetId="7" hidden="1">CITY!$A$1:$D$145</definedName>
    <definedName name="_xlnm._FilterDatabase" localSheetId="1" hidden="1">DATE!$A$1:$G$42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1" l="1"/>
  <c r="C50" i="3" l="1"/>
  <c r="B50" i="3"/>
  <c r="D3" i="10" l="1"/>
  <c r="D2" i="10"/>
  <c r="D3" i="9"/>
  <c r="D4" i="9"/>
  <c r="D5" i="9"/>
  <c r="D2" i="9"/>
  <c r="C146" i="7"/>
  <c r="B146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C19" i="4"/>
  <c r="B19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2" i="3"/>
  <c r="F42" i="1" l="1"/>
  <c r="E42" i="1"/>
  <c r="C42" i="1"/>
  <c r="B42" i="1"/>
  <c r="D18" i="1"/>
  <c r="G18" i="1"/>
  <c r="D19" i="1"/>
  <c r="G19" i="1"/>
  <c r="D20" i="1"/>
  <c r="G20" i="1"/>
  <c r="D21" i="1"/>
  <c r="G21" i="1"/>
  <c r="D22" i="1"/>
  <c r="G22" i="1"/>
  <c r="D23" i="1"/>
  <c r="G23" i="1"/>
  <c r="D24" i="1"/>
  <c r="G24" i="1"/>
  <c r="D25" i="1"/>
  <c r="G25" i="1"/>
  <c r="D26" i="1"/>
  <c r="G26" i="1"/>
  <c r="D27" i="1"/>
  <c r="G27" i="1"/>
  <c r="D28" i="1"/>
  <c r="G28" i="1"/>
  <c r="D29" i="1"/>
  <c r="G29" i="1"/>
  <c r="D30" i="1"/>
  <c r="G30" i="1"/>
  <c r="D31" i="1"/>
  <c r="G31" i="1"/>
  <c r="D32" i="1"/>
  <c r="G32" i="1"/>
  <c r="D33" i="1"/>
  <c r="G33" i="1"/>
  <c r="D34" i="1"/>
  <c r="G34" i="1"/>
  <c r="D35" i="1"/>
  <c r="G35" i="1"/>
  <c r="D36" i="1"/>
  <c r="G36" i="1"/>
  <c r="D37" i="1"/>
  <c r="G37" i="1"/>
  <c r="D38" i="1"/>
  <c r="G38" i="1"/>
  <c r="D39" i="1"/>
  <c r="G39" i="1"/>
  <c r="D40" i="1"/>
  <c r="G40" i="1"/>
  <c r="D41" i="1"/>
  <c r="G41" i="1"/>
  <c r="C26" i="2" l="1"/>
  <c r="B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6" i="2" l="1"/>
  <c r="C4" i="10" l="1"/>
  <c r="B4" i="10"/>
  <c r="C6" i="9"/>
  <c r="B6" i="9"/>
  <c r="D4" i="10" l="1"/>
  <c r="D6" i="9"/>
  <c r="D2" i="7"/>
  <c r="D146" i="7" l="1"/>
  <c r="D50" i="3"/>
  <c r="C6" i="6"/>
  <c r="B6" i="6"/>
  <c r="D3" i="6"/>
  <c r="D4" i="6"/>
  <c r="D5" i="6"/>
  <c r="D2" i="6"/>
  <c r="C5" i="5"/>
  <c r="B5" i="5"/>
  <c r="D4" i="5"/>
  <c r="D3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2" i="4"/>
  <c r="D5" i="5" l="1"/>
  <c r="D6" i="6"/>
  <c r="D19" i="4"/>
  <c r="G17" i="1" l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G42" i="1"/>
  <c r="D42" i="1" l="1"/>
</calcChain>
</file>

<file path=xl/sharedStrings.xml><?xml version="1.0" encoding="utf-8"?>
<sst xmlns="http://schemas.openxmlformats.org/spreadsheetml/2006/main" count="315" uniqueCount="280">
  <si>
    <t>Date</t>
  </si>
  <si>
    <t>Impressions</t>
  </si>
  <si>
    <t>Clicks</t>
  </si>
  <si>
    <t>Click Rate (CTR)</t>
  </si>
  <si>
    <t>Viewable Impressions</t>
  </si>
  <si>
    <t>Measurable Impressions</t>
  </si>
  <si>
    <t>Viewability</t>
  </si>
  <si>
    <t>Grand Total</t>
  </si>
  <si>
    <t>Time of Day</t>
  </si>
  <si>
    <t>App/URL</t>
  </si>
  <si>
    <t>Exchange</t>
  </si>
  <si>
    <t>Creative</t>
  </si>
  <si>
    <t>City</t>
  </si>
  <si>
    <t>Device Type</t>
  </si>
  <si>
    <t>Age</t>
  </si>
  <si>
    <t>18-24</t>
  </si>
  <si>
    <t>25-34</t>
  </si>
  <si>
    <t>35-44</t>
  </si>
  <si>
    <t>45-54</t>
  </si>
  <si>
    <t>Gender</t>
  </si>
  <si>
    <t>Male</t>
  </si>
  <si>
    <t>Female</t>
  </si>
  <si>
    <t>Reach</t>
  </si>
  <si>
    <t>Frequency</t>
  </si>
  <si>
    <t>06 November, 2025</t>
  </si>
  <si>
    <t>07 November, 2025</t>
  </si>
  <si>
    <t>08 November, 2025</t>
  </si>
  <si>
    <t>09 November, 2025</t>
  </si>
  <si>
    <t>10 November, 2025</t>
  </si>
  <si>
    <t>11 November, 2025</t>
  </si>
  <si>
    <t>12 November, 2025</t>
  </si>
  <si>
    <t>13 November, 2025</t>
  </si>
  <si>
    <t>14 November, 2025</t>
  </si>
  <si>
    <t>15 November, 2025</t>
  </si>
  <si>
    <t>16 November, 2025</t>
  </si>
  <si>
    <t>17 November, 2025</t>
  </si>
  <si>
    <t>18 November, 2025</t>
  </si>
  <si>
    <t>19 November, 2025</t>
  </si>
  <si>
    <t>20 November, 2025</t>
  </si>
  <si>
    <t>21 November, 2025</t>
  </si>
  <si>
    <t>22 November, 2025</t>
  </si>
  <si>
    <t>23 November, 2025</t>
  </si>
  <si>
    <t>24 November, 2025</t>
  </si>
  <si>
    <t>25 November, 2025</t>
  </si>
  <si>
    <t>26 November, 2025</t>
  </si>
  <si>
    <t>27 November, 2025</t>
  </si>
  <si>
    <t>28 November, 2025</t>
  </si>
  <si>
    <t>29 November, 2025</t>
  </si>
  <si>
    <t>30 November, 2025</t>
  </si>
  <si>
    <t>01 December, 2025</t>
  </si>
  <si>
    <t>02 December, 2025</t>
  </si>
  <si>
    <t>03 December, 2025</t>
  </si>
  <si>
    <t>04 December, 2025</t>
  </si>
  <si>
    <t>05 December, 2025</t>
  </si>
  <si>
    <t>06 December, 2025</t>
  </si>
  <si>
    <t>07 December, 2025</t>
  </si>
  <si>
    <t>08 December, 2025</t>
  </si>
  <si>
    <t>09 December, 2025</t>
  </si>
  <si>
    <t>10 December, 2025</t>
  </si>
  <si>
    <t>11 December, 2025</t>
  </si>
  <si>
    <t>12 December, 2025</t>
  </si>
  <si>
    <t>13 December, 2025</t>
  </si>
  <si>
    <t>14 December, 2025</t>
  </si>
  <si>
    <t>15 December, 2025</t>
  </si>
  <si>
    <t>tribuneindia.com</t>
  </si>
  <si>
    <t>Jagbani - iOS (538323711)</t>
  </si>
  <si>
    <t>ajitjalandhar.com</t>
  </si>
  <si>
    <t>punjabitribuneonline.com</t>
  </si>
  <si>
    <t>Jagbani Punjabi App - Android (com.jagbani)</t>
  </si>
  <si>
    <t>Ajit - iOS (581154091)</t>
  </si>
  <si>
    <t>Ajit - Android (ajit.news.paper)</t>
  </si>
  <si>
    <t>The Tribune, Chandigarh, India - Android (com.readwhere.whitelabel.tribune)</t>
  </si>
  <si>
    <t>Sikh World - Android (com.khushwant.sikhworld)</t>
  </si>
  <si>
    <t>ptcnews.tv</t>
  </si>
  <si>
    <t>Sikh World - iOS (1040589208)</t>
  </si>
  <si>
    <t>punjabijagran.com</t>
  </si>
  <si>
    <t>Punjabi Tribune Newspaper - iOS (910484023)</t>
  </si>
  <si>
    <t>Punjabi Tribune Newspaper - Android (com.readwhere.whitelabel.punjabitribune)</t>
  </si>
  <si>
    <t>bizasialive.com</t>
  </si>
  <si>
    <t>punjablivenews.in</t>
  </si>
  <si>
    <t>Sikh World - Nitnem &amp; Live Gurbani Radio - Android (com.shikh.gurbaniradio.livekirtan)</t>
  </si>
  <si>
    <t>dailypost.in</t>
  </si>
  <si>
    <t>rozanaspokesman.com</t>
  </si>
  <si>
    <t>punjabdata.com</t>
  </si>
  <si>
    <t>punjab.news18.com</t>
  </si>
  <si>
    <t>punjabi.abplive.com</t>
  </si>
  <si>
    <t>dailypunjab.live</t>
  </si>
  <si>
    <t>viral-punjab.com</t>
  </si>
  <si>
    <t>tv9punjabi.com</t>
  </si>
  <si>
    <t>voiceofpunjabtv.com</t>
  </si>
  <si>
    <t>deshclick.com</t>
  </si>
  <si>
    <t>rozanaspokesman.in</t>
  </si>
  <si>
    <t>welcomepunjab.in</t>
  </si>
  <si>
    <t>punjabinewsonline.com</t>
  </si>
  <si>
    <t>punjabistoryline.com</t>
  </si>
  <si>
    <t>punjabi.ajitweekly.com</t>
  </si>
  <si>
    <t>timetv.news</t>
  </si>
  <si>
    <t>swagy-jatt.com</t>
  </si>
  <si>
    <t>sachkahoonpunjabi.com</t>
  </si>
  <si>
    <t>punjab.news</t>
  </si>
  <si>
    <t>5abi.com</t>
  </si>
  <si>
    <t>jagbani.punjabkesari.in</t>
  </si>
  <si>
    <t>punjabnewsexpress.com</t>
  </si>
  <si>
    <t>Adform</t>
  </si>
  <si>
    <t>BidSwitch</t>
  </si>
  <si>
    <t>Criteo Commerce Grid</t>
  </si>
  <si>
    <t>Equativ</t>
  </si>
  <si>
    <t>Fluct</t>
  </si>
  <si>
    <t>Google Ad Manager</t>
  </si>
  <si>
    <t>Improve Digital</t>
  </si>
  <si>
    <t>Index Exchange</t>
  </si>
  <si>
    <t>InMobi</t>
  </si>
  <si>
    <t>Magnite DV+</t>
  </si>
  <si>
    <t>Media.net</t>
  </si>
  <si>
    <t>Microsoft Monetize</t>
  </si>
  <si>
    <t>Nexxen (fka Unruly)</t>
  </si>
  <si>
    <t>OpenX</t>
  </si>
  <si>
    <t>PubMatic</t>
  </si>
  <si>
    <t>Sovrn</t>
  </si>
  <si>
    <t>TripleLift</t>
  </si>
  <si>
    <t>CA01309_Punjabi_Banner_120x600</t>
  </si>
  <si>
    <t>CA01309_Punjabi_Banner_160x600</t>
  </si>
  <si>
    <t>CA01309_Punjabi_Banner_320x250</t>
  </si>
  <si>
    <t>CA01309_Punjabi_Banner_320x50</t>
  </si>
  <si>
    <t>Desktop</t>
  </si>
  <si>
    <t>Smart Phone</t>
  </si>
  <si>
    <t>Tablet</t>
  </si>
  <si>
    <t>Albury</t>
  </si>
  <si>
    <t>Alstonville</t>
  </si>
  <si>
    <t>Armidale</t>
  </si>
  <si>
    <t>Ballina</t>
  </si>
  <si>
    <t>Banora Point</t>
  </si>
  <si>
    <t>Bargo</t>
  </si>
  <si>
    <t>Batemans Bay</t>
  </si>
  <si>
    <t>Bathurst</t>
  </si>
  <si>
    <t>Bega</t>
  </si>
  <si>
    <t>Bellingen</t>
  </si>
  <si>
    <t>Berowra</t>
  </si>
  <si>
    <t>Berowra Heights</t>
  </si>
  <si>
    <t>Blackheath</t>
  </si>
  <si>
    <t>Bonny Hills</t>
  </si>
  <si>
    <t>Bowral</t>
  </si>
  <si>
    <t>Bowral - Mittagong</t>
  </si>
  <si>
    <t>Box Hill</t>
  </si>
  <si>
    <t>Broken Hill</t>
  </si>
  <si>
    <t>Brunswick Heads</t>
  </si>
  <si>
    <t>Bulli</t>
  </si>
  <si>
    <t>Bungendore</t>
  </si>
  <si>
    <t>Byron Bay</t>
  </si>
  <si>
    <t>Casino</t>
  </si>
  <si>
    <t>Catherine Field</t>
  </si>
  <si>
    <t>Central Coast</t>
  </si>
  <si>
    <t>Cessnock</t>
  </si>
  <si>
    <t>City of Blacktown</t>
  </si>
  <si>
    <t>City of Campbelltown</t>
  </si>
  <si>
    <t>Cobbitty</t>
  </si>
  <si>
    <t>Coffs Harbour</t>
  </si>
  <si>
    <t>Cooma</t>
  </si>
  <si>
    <t>Cootamundra</t>
  </si>
  <si>
    <t>Corrimal</t>
  </si>
  <si>
    <t>Cowra</t>
  </si>
  <si>
    <t>Cranebrook</t>
  </si>
  <si>
    <t>Cronulla</t>
  </si>
  <si>
    <t>Douglas Park</t>
  </si>
  <si>
    <t>Dubbo</t>
  </si>
  <si>
    <t>Dural</t>
  </si>
  <si>
    <t>East Maitland</t>
  </si>
  <si>
    <t>East Tamworth</t>
  </si>
  <si>
    <t>Eden</t>
  </si>
  <si>
    <t>Evans Head</t>
  </si>
  <si>
    <t>Fairfield City Council</t>
  </si>
  <si>
    <t>Figtree</t>
  </si>
  <si>
    <t>Forbes</t>
  </si>
  <si>
    <t>Galston</t>
  </si>
  <si>
    <t>Glenmore Park</t>
  </si>
  <si>
    <t>Glenorie</t>
  </si>
  <si>
    <t>Googong</t>
  </si>
  <si>
    <t>Goulburn</t>
  </si>
  <si>
    <t>Grafton</t>
  </si>
  <si>
    <t>Greta</t>
  </si>
  <si>
    <t>Griffith</t>
  </si>
  <si>
    <t>Gunnedah</t>
  </si>
  <si>
    <t>Heddon Greta</t>
  </si>
  <si>
    <t>Helensburgh</t>
  </si>
  <si>
    <t>Holsworthy</t>
  </si>
  <si>
    <t>Hornsby</t>
  </si>
  <si>
    <t>Hornsby Heights</t>
  </si>
  <si>
    <t>Huskisson</t>
  </si>
  <si>
    <t>Inverell</t>
  </si>
  <si>
    <t>Jindabyne</t>
  </si>
  <si>
    <t>Junee</t>
  </si>
  <si>
    <t>Kangy Angy</t>
  </si>
  <si>
    <t>Karabar</t>
  </si>
  <si>
    <t>Katoomba</t>
  </si>
  <si>
    <t>Kemps Creek</t>
  </si>
  <si>
    <t>Kiama</t>
  </si>
  <si>
    <t>Kingscliff</t>
  </si>
  <si>
    <t>Ku-ring-gai Council</t>
  </si>
  <si>
    <t>Kurmond</t>
  </si>
  <si>
    <t>Kurri Kurri</t>
  </si>
  <si>
    <t>Lake Macquarie City Council</t>
  </si>
  <si>
    <t>Lavington</t>
  </si>
  <si>
    <t>Leeton</t>
  </si>
  <si>
    <t>Leppington</t>
  </si>
  <si>
    <t>Lismore</t>
  </si>
  <si>
    <t>Lithgow</t>
  </si>
  <si>
    <t>Liverpool City Council</t>
  </si>
  <si>
    <t>Macksville</t>
  </si>
  <si>
    <t>Maitland</t>
  </si>
  <si>
    <t>Marulan</t>
  </si>
  <si>
    <t>Medowie</t>
  </si>
  <si>
    <t>Minto</t>
  </si>
  <si>
    <t>Mittagong</t>
  </si>
  <si>
    <t>Moama</t>
  </si>
  <si>
    <t>Morisset</t>
  </si>
  <si>
    <t>Moruya</t>
  </si>
  <si>
    <t>Moss Vale</t>
  </si>
  <si>
    <t>Mudgee</t>
  </si>
  <si>
    <t>Murrumbateman</t>
  </si>
  <si>
    <t>Murwillumbah</t>
  </si>
  <si>
    <t>Muswellbrook</t>
  </si>
  <si>
    <t>Nambucca Heads</t>
  </si>
  <si>
    <t>Narrabri</t>
  </si>
  <si>
    <t>Nelson Bay</t>
  </si>
  <si>
    <t>Newcastle</t>
  </si>
  <si>
    <t>Newcastle City Council</t>
  </si>
  <si>
    <t>North Richmond</t>
  </si>
  <si>
    <t>Northern Beaches Council</t>
  </si>
  <si>
    <t>Nowra</t>
  </si>
  <si>
    <t>Orange</t>
  </si>
  <si>
    <t>Orchard Hills</t>
  </si>
  <si>
    <t>Parkes</t>
  </si>
  <si>
    <t>Penrith City Council</t>
  </si>
  <si>
    <t>Picton</t>
  </si>
  <si>
    <t>Port Macquarie</t>
  </si>
  <si>
    <t>Pottsville</t>
  </si>
  <si>
    <t>Queanbeyan</t>
  </si>
  <si>
    <t>Raymond Terrace</t>
  </si>
  <si>
    <t>Richmond</t>
  </si>
  <si>
    <t>Robertson</t>
  </si>
  <si>
    <t>Salamander Bay</t>
  </si>
  <si>
    <t>Sanctuary Point</t>
  </si>
  <si>
    <t>Singleton</t>
  </si>
  <si>
    <t>South West Rocks</t>
  </si>
  <si>
    <t>Sutherland Shire Council</t>
  </si>
  <si>
    <t>Sutton</t>
  </si>
  <si>
    <t>Swansea</t>
  </si>
  <si>
    <t>Sydney</t>
  </si>
  <si>
    <t>Tamworth</t>
  </si>
  <si>
    <t>Taree</t>
  </si>
  <si>
    <t>Teralba</t>
  </si>
  <si>
    <t>Terrey Hills</t>
  </si>
  <si>
    <t>The Hills Shire Council</t>
  </si>
  <si>
    <t>Thirlmere</t>
  </si>
  <si>
    <t>Thirroul</t>
  </si>
  <si>
    <t>Thornton</t>
  </si>
  <si>
    <t>Tumut</t>
  </si>
  <si>
    <t>Tuncurry</t>
  </si>
  <si>
    <t>Tweed Heads</t>
  </si>
  <si>
    <t>Ulladulla</t>
  </si>
  <si>
    <t>Wagga Wagga</t>
  </si>
  <si>
    <t>Wallaroo</t>
  </si>
  <si>
    <t>Warragamba</t>
  </si>
  <si>
    <t>Wauchope</t>
  </si>
  <si>
    <t>West Kempsey</t>
  </si>
  <si>
    <t>Weston</t>
  </si>
  <si>
    <t>Wollongong</t>
  </si>
  <si>
    <t>Woolgoolga</t>
  </si>
  <si>
    <t>Woonona</t>
  </si>
  <si>
    <t>Worrigee</t>
  </si>
  <si>
    <t>Young</t>
  </si>
  <si>
    <t>punjab.indiaresults.com</t>
  </si>
  <si>
    <t>punjabilibrary.com</t>
  </si>
  <si>
    <t>jagratilahar.com</t>
  </si>
  <si>
    <t>punjabikhabarsaar.com</t>
  </si>
  <si>
    <t>bordernewsexpress.com</t>
  </si>
  <si>
    <t>radiopunjabtoday.com</t>
  </si>
  <si>
    <t>jagatsewak.com</t>
  </si>
  <si>
    <t>punjabguardian.com</t>
  </si>
  <si>
    <t>patialapolitics.com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</si>
</sst>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10" fontId="4" fillId="4" borderId="1" xfId="1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0" fontId="5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5" fillId="0" borderId="1" xfId="0" applyFont="1" applyFill="1" applyBorder="1"/>
    <xf numFmtId="10" fontId="5" fillId="0" borderId="1" xfId="0" applyNumberFormat="1" applyFont="1" applyBorder="1" applyAlignment="1">
      <alignment horizontal="center"/>
    </xf>
    <xf numFmtId="10" fontId="5" fillId="0" borderId="1" xfId="0" applyNumberFormat="1" applyFont="1" applyBorder="1"/>
    <xf numFmtId="10" fontId="2" fillId="4" borderId="1" xfId="0" applyNumberFormat="1" applyFont="1" applyFill="1" applyBorder="1" applyAlignment="1">
      <alignment horizontal="right"/>
    </xf>
    <xf numFmtId="10" fontId="5" fillId="0" borderId="1" xfId="0" applyNumberFormat="1" applyFont="1" applyFill="1" applyBorder="1" applyAlignment="1">
      <alignment horizontal="right"/>
    </xf>
    <xf numFmtId="0" fontId="5" fillId="0" borderId="1" xfId="0" applyNumberFormat="1" applyFont="1" applyBorder="1"/>
    <xf numFmtId="0" fontId="5" fillId="0" borderId="1" xfId="0" applyNumberFormat="1" applyFont="1" applyBorder="1" applyAlignment="1">
      <alignment horizontal="center"/>
    </xf>
    <xf numFmtId="0" fontId="7" fillId="0" borderId="1" xfId="0" applyFont="1" applyFill="1" applyBorder="1" applyAlignment="1"/>
    <xf numFmtId="0" fontId="5" fillId="0" borderId="1" xfId="0" applyNumberFormat="1" applyFont="1" applyFill="1" applyBorder="1"/>
    <xf numFmtId="0" fontId="7" fillId="0" borderId="1" xfId="0" applyFont="1" applyFill="1" applyBorder="1"/>
    <xf numFmtId="10" fontId="5" fillId="0" borderId="1" xfId="1" applyNumberFormat="1" applyFont="1" applyBorder="1" applyAlignment="1">
      <alignment horizontal="right"/>
    </xf>
    <xf numFmtId="0" fontId="6" fillId="2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5" fillId="0" borderId="1" xfId="1" applyNumberFormat="1" applyFont="1" applyBorder="1" applyAlignment="1">
      <alignment horizontal="center"/>
    </xf>
  </cellXfs>
  <cellStyles count="3">
    <cellStyle name="Normal" xfId="0" builtinId="0"/>
    <cellStyle name="Normal 2" xfId="2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13" sqref="B13"/>
    </sheetView>
  </sheetViews>
  <sheetFormatPr defaultRowHeight="14.5" x14ac:dyDescent="0.35"/>
  <cols>
    <col min="1" max="1" width="10.90625" bestFit="1" customWidth="1"/>
    <col min="3" max="3" width="13.90625" bestFit="1" customWidth="1"/>
    <col min="4" max="4" width="5.81640625" bestFit="1" customWidth="1"/>
    <col min="5" max="5" width="9.453125" bestFit="1" customWidth="1"/>
  </cols>
  <sheetData>
    <row r="1" spans="1:5" x14ac:dyDescent="0.35">
      <c r="A1" s="3" t="s">
        <v>1</v>
      </c>
      <c r="B1" s="3" t="s">
        <v>2</v>
      </c>
      <c r="C1" s="3" t="s">
        <v>3</v>
      </c>
      <c r="D1" s="3" t="s">
        <v>22</v>
      </c>
      <c r="E1" s="3" t="s">
        <v>23</v>
      </c>
    </row>
    <row r="2" spans="1:5" x14ac:dyDescent="0.35">
      <c r="A2" s="25">
        <v>100016</v>
      </c>
      <c r="B2" s="25">
        <v>491</v>
      </c>
      <c r="C2" s="26">
        <f>B2/A2</f>
        <v>4.909214525675892E-3</v>
      </c>
      <c r="D2" s="25">
        <v>35899</v>
      </c>
      <c r="E2" s="25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C49" sqref="C49"/>
    </sheetView>
  </sheetViews>
  <sheetFormatPr defaultRowHeight="14.5" x14ac:dyDescent="0.35"/>
  <cols>
    <col min="1" max="1" width="15.6328125" bestFit="1" customWidth="1"/>
    <col min="2" max="2" width="15.1796875" customWidth="1"/>
    <col min="3" max="3" width="13.1796875" customWidth="1"/>
    <col min="4" max="4" width="16.54296875" customWidth="1"/>
    <col min="5" max="5" width="24.08984375" customWidth="1"/>
    <col min="6" max="6" width="25.36328125" customWidth="1"/>
    <col min="7" max="7" width="13.453125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7" t="s">
        <v>24</v>
      </c>
      <c r="B2" s="7">
        <v>655</v>
      </c>
      <c r="C2" s="7">
        <v>3</v>
      </c>
      <c r="D2" s="13">
        <f>C2/B2</f>
        <v>4.5801526717557254E-3</v>
      </c>
      <c r="E2" s="18">
        <v>599</v>
      </c>
      <c r="F2" s="18">
        <v>655</v>
      </c>
      <c r="G2" s="13">
        <f>E2/F2</f>
        <v>0.91450381679389314</v>
      </c>
    </row>
    <row r="3" spans="1:7" x14ac:dyDescent="0.35">
      <c r="A3" s="7" t="s">
        <v>25</v>
      </c>
      <c r="B3" s="7">
        <v>1367</v>
      </c>
      <c r="C3" s="7">
        <v>7</v>
      </c>
      <c r="D3" s="13">
        <f t="shared" ref="D3:D17" si="0">C3/B3</f>
        <v>5.1207022677395757E-3</v>
      </c>
      <c r="E3" s="18">
        <v>1275</v>
      </c>
      <c r="F3" s="18">
        <v>1367</v>
      </c>
      <c r="G3" s="13">
        <f t="shared" ref="G3:G17" si="1">E3/F3</f>
        <v>0.93269934162399415</v>
      </c>
    </row>
    <row r="4" spans="1:7" x14ac:dyDescent="0.35">
      <c r="A4" s="7" t="s">
        <v>26</v>
      </c>
      <c r="B4" s="7">
        <v>1369</v>
      </c>
      <c r="C4" s="7">
        <v>6</v>
      </c>
      <c r="D4" s="13">
        <f t="shared" si="0"/>
        <v>4.3827611395178961E-3</v>
      </c>
      <c r="E4" s="18">
        <v>1119</v>
      </c>
      <c r="F4" s="18">
        <v>1365</v>
      </c>
      <c r="G4" s="13">
        <f t="shared" si="1"/>
        <v>0.81978021978021975</v>
      </c>
    </row>
    <row r="5" spans="1:7" x14ac:dyDescent="0.35">
      <c r="A5" s="7" t="s">
        <v>27</v>
      </c>
      <c r="B5" s="7">
        <v>1360</v>
      </c>
      <c r="C5" s="7">
        <v>7</v>
      </c>
      <c r="D5" s="13">
        <f t="shared" si="0"/>
        <v>5.1470588235294117E-3</v>
      </c>
      <c r="E5" s="18">
        <v>1091</v>
      </c>
      <c r="F5" s="18">
        <v>1349</v>
      </c>
      <c r="G5" s="13">
        <f t="shared" si="1"/>
        <v>0.80874722016308376</v>
      </c>
    </row>
    <row r="6" spans="1:7" x14ac:dyDescent="0.35">
      <c r="A6" s="7" t="s">
        <v>28</v>
      </c>
      <c r="B6" s="7">
        <v>1352</v>
      </c>
      <c r="C6" s="7">
        <v>5</v>
      </c>
      <c r="D6" s="13">
        <f t="shared" si="0"/>
        <v>3.6982248520710057E-3</v>
      </c>
      <c r="E6" s="18">
        <v>1041</v>
      </c>
      <c r="F6" s="18">
        <v>1347</v>
      </c>
      <c r="G6" s="13">
        <f t="shared" si="1"/>
        <v>0.77282850779510026</v>
      </c>
    </row>
    <row r="7" spans="1:7" x14ac:dyDescent="0.35">
      <c r="A7" s="7" t="s">
        <v>29</v>
      </c>
      <c r="B7" s="7">
        <v>1358</v>
      </c>
      <c r="C7" s="7">
        <v>6</v>
      </c>
      <c r="D7" s="13">
        <f t="shared" si="0"/>
        <v>4.418262150220913E-3</v>
      </c>
      <c r="E7" s="18">
        <v>1031</v>
      </c>
      <c r="F7" s="18">
        <v>1346</v>
      </c>
      <c r="G7" s="13">
        <f t="shared" si="1"/>
        <v>0.76597325408618133</v>
      </c>
    </row>
    <row r="8" spans="1:7" x14ac:dyDescent="0.35">
      <c r="A8" s="7" t="s">
        <v>30</v>
      </c>
      <c r="B8" s="7">
        <v>3265</v>
      </c>
      <c r="C8" s="7">
        <v>18</v>
      </c>
      <c r="D8" s="13">
        <f t="shared" si="0"/>
        <v>5.5130168453292492E-3</v>
      </c>
      <c r="E8" s="18">
        <v>2729</v>
      </c>
      <c r="F8" s="18">
        <v>3257</v>
      </c>
      <c r="G8" s="13">
        <f t="shared" si="1"/>
        <v>0.83788762665029171</v>
      </c>
    </row>
    <row r="9" spans="1:7" x14ac:dyDescent="0.35">
      <c r="A9" s="7" t="s">
        <v>31</v>
      </c>
      <c r="B9" s="7">
        <v>3240</v>
      </c>
      <c r="C9" s="7">
        <v>15</v>
      </c>
      <c r="D9" s="13">
        <f t="shared" si="0"/>
        <v>4.6296296296296294E-3</v>
      </c>
      <c r="E9" s="18">
        <v>2484</v>
      </c>
      <c r="F9" s="18">
        <v>3218</v>
      </c>
      <c r="G9" s="13">
        <f t="shared" si="1"/>
        <v>0.77190801740211312</v>
      </c>
    </row>
    <row r="10" spans="1:7" x14ac:dyDescent="0.35">
      <c r="A10" s="7" t="s">
        <v>32</v>
      </c>
      <c r="B10" s="7">
        <v>3208</v>
      </c>
      <c r="C10" s="7">
        <v>17</v>
      </c>
      <c r="D10" s="13">
        <f t="shared" si="0"/>
        <v>5.2992518703241899E-3</v>
      </c>
      <c r="E10" s="18">
        <v>2556</v>
      </c>
      <c r="F10" s="18">
        <v>3190</v>
      </c>
      <c r="G10" s="13">
        <f t="shared" si="1"/>
        <v>0.80125391849529781</v>
      </c>
    </row>
    <row r="11" spans="1:7" x14ac:dyDescent="0.35">
      <c r="A11" s="7" t="s">
        <v>33</v>
      </c>
      <c r="B11" s="7">
        <v>3208</v>
      </c>
      <c r="C11" s="7">
        <v>13</v>
      </c>
      <c r="D11" s="13">
        <f t="shared" si="0"/>
        <v>4.0523690773067332E-3</v>
      </c>
      <c r="E11" s="18">
        <v>2442</v>
      </c>
      <c r="F11" s="18">
        <v>3201</v>
      </c>
      <c r="G11" s="13">
        <f t="shared" si="1"/>
        <v>0.76288659793814428</v>
      </c>
    </row>
    <row r="12" spans="1:7" x14ac:dyDescent="0.35">
      <c r="A12" s="7" t="s">
        <v>34</v>
      </c>
      <c r="B12" s="7">
        <v>3179</v>
      </c>
      <c r="C12" s="7">
        <v>14</v>
      </c>
      <c r="D12" s="13">
        <f t="shared" si="0"/>
        <v>4.4039005976722239E-3</v>
      </c>
      <c r="E12" s="18">
        <v>2588</v>
      </c>
      <c r="F12" s="18">
        <v>3170</v>
      </c>
      <c r="G12" s="13">
        <f t="shared" si="1"/>
        <v>0.81640378548895898</v>
      </c>
    </row>
    <row r="13" spans="1:7" x14ac:dyDescent="0.35">
      <c r="A13" s="7" t="s">
        <v>35</v>
      </c>
      <c r="B13" s="7">
        <v>3152</v>
      </c>
      <c r="C13" s="7">
        <v>16</v>
      </c>
      <c r="D13" s="13">
        <f t="shared" si="0"/>
        <v>5.076142131979695E-3</v>
      </c>
      <c r="E13" s="18">
        <v>2641</v>
      </c>
      <c r="F13" s="18">
        <v>3138</v>
      </c>
      <c r="G13" s="13">
        <f t="shared" si="1"/>
        <v>0.8416188655194391</v>
      </c>
    </row>
    <row r="14" spans="1:7" x14ac:dyDescent="0.35">
      <c r="A14" s="7" t="s">
        <v>36</v>
      </c>
      <c r="B14" s="7">
        <v>3121</v>
      </c>
      <c r="C14" s="7">
        <v>15</v>
      </c>
      <c r="D14" s="13">
        <f t="shared" si="0"/>
        <v>4.8061518743992308E-3</v>
      </c>
      <c r="E14" s="18">
        <v>2635</v>
      </c>
      <c r="F14" s="18">
        <v>3107</v>
      </c>
      <c r="G14" s="13">
        <f t="shared" si="1"/>
        <v>0.84808496942388156</v>
      </c>
    </row>
    <row r="15" spans="1:7" x14ac:dyDescent="0.35">
      <c r="A15" s="7" t="s">
        <v>37</v>
      </c>
      <c r="B15" s="7">
        <v>3119</v>
      </c>
      <c r="C15" s="7">
        <v>13</v>
      </c>
      <c r="D15" s="13">
        <f t="shared" si="0"/>
        <v>4.1680025649246553E-3</v>
      </c>
      <c r="E15" s="18">
        <v>2342</v>
      </c>
      <c r="F15" s="18">
        <v>3098</v>
      </c>
      <c r="G15" s="13">
        <f t="shared" si="1"/>
        <v>0.75597159457714658</v>
      </c>
    </row>
    <row r="16" spans="1:7" x14ac:dyDescent="0.35">
      <c r="A16" s="7" t="s">
        <v>38</v>
      </c>
      <c r="B16" s="7">
        <v>3097</v>
      </c>
      <c r="C16" s="7">
        <v>16</v>
      </c>
      <c r="D16" s="13">
        <f t="shared" si="0"/>
        <v>5.1662899580238938E-3</v>
      </c>
      <c r="E16" s="18">
        <v>2562</v>
      </c>
      <c r="F16" s="18">
        <v>3083</v>
      </c>
      <c r="G16" s="13">
        <f t="shared" si="1"/>
        <v>0.83100875770353555</v>
      </c>
    </row>
    <row r="17" spans="1:7" x14ac:dyDescent="0.35">
      <c r="A17" s="7" t="s">
        <v>39</v>
      </c>
      <c r="B17" s="7">
        <v>3065</v>
      </c>
      <c r="C17" s="7">
        <v>17</v>
      </c>
      <c r="D17" s="13">
        <f t="shared" si="0"/>
        <v>5.5464926590538333E-3</v>
      </c>
      <c r="E17" s="18">
        <v>2504</v>
      </c>
      <c r="F17" s="18">
        <v>3060</v>
      </c>
      <c r="G17" s="13">
        <f t="shared" si="1"/>
        <v>0.81830065359477122</v>
      </c>
    </row>
    <row r="18" spans="1:7" x14ac:dyDescent="0.35">
      <c r="A18" s="7" t="s">
        <v>40</v>
      </c>
      <c r="B18" s="7">
        <v>3042</v>
      </c>
      <c r="C18" s="7">
        <v>15</v>
      </c>
      <c r="D18" s="13">
        <f t="shared" ref="D18:D41" si="2">C18/B18</f>
        <v>4.9309664694280079E-3</v>
      </c>
      <c r="E18" s="18">
        <v>2387</v>
      </c>
      <c r="F18" s="18">
        <v>3032</v>
      </c>
      <c r="G18" s="13">
        <f t="shared" ref="G18:G41" si="3">E18/F18</f>
        <v>0.78726912928759896</v>
      </c>
    </row>
    <row r="19" spans="1:7" x14ac:dyDescent="0.35">
      <c r="A19" s="7" t="s">
        <v>41</v>
      </c>
      <c r="B19" s="7">
        <v>3014</v>
      </c>
      <c r="C19" s="7">
        <v>17</v>
      </c>
      <c r="D19" s="13">
        <f t="shared" si="2"/>
        <v>5.6403450564034502E-3</v>
      </c>
      <c r="E19" s="18">
        <v>2411</v>
      </c>
      <c r="F19" s="18">
        <v>2993</v>
      </c>
      <c r="G19" s="13">
        <f t="shared" si="3"/>
        <v>0.80554627464082862</v>
      </c>
    </row>
    <row r="20" spans="1:7" x14ac:dyDescent="0.35">
      <c r="A20" s="7" t="s">
        <v>42</v>
      </c>
      <c r="B20" s="7">
        <v>2985</v>
      </c>
      <c r="C20" s="7">
        <v>13</v>
      </c>
      <c r="D20" s="13">
        <f t="shared" si="2"/>
        <v>4.3551088777219428E-3</v>
      </c>
      <c r="E20" s="18">
        <v>2313</v>
      </c>
      <c r="F20" s="18">
        <v>2976</v>
      </c>
      <c r="G20" s="13">
        <f t="shared" si="3"/>
        <v>0.77721774193548387</v>
      </c>
    </row>
    <row r="21" spans="1:7" x14ac:dyDescent="0.35">
      <c r="A21" s="7" t="s">
        <v>43</v>
      </c>
      <c r="B21" s="7">
        <v>2956</v>
      </c>
      <c r="C21" s="7">
        <v>15</v>
      </c>
      <c r="D21" s="13">
        <f t="shared" si="2"/>
        <v>5.0744248985115023E-3</v>
      </c>
      <c r="E21" s="18">
        <v>2221</v>
      </c>
      <c r="F21" s="18">
        <v>2945</v>
      </c>
      <c r="G21" s="13">
        <f t="shared" si="3"/>
        <v>0.75415959252971132</v>
      </c>
    </row>
    <row r="22" spans="1:7" x14ac:dyDescent="0.35">
      <c r="A22" s="7" t="s">
        <v>44</v>
      </c>
      <c r="B22" s="7">
        <v>2926</v>
      </c>
      <c r="C22" s="7">
        <v>11</v>
      </c>
      <c r="D22" s="13">
        <f t="shared" si="2"/>
        <v>3.7593984962406013E-3</v>
      </c>
      <c r="E22" s="18">
        <v>2416</v>
      </c>
      <c r="F22" s="18">
        <v>2906</v>
      </c>
      <c r="G22" s="13">
        <f t="shared" si="3"/>
        <v>0.83138334480385412</v>
      </c>
    </row>
    <row r="23" spans="1:7" x14ac:dyDescent="0.35">
      <c r="A23" s="7" t="s">
        <v>45</v>
      </c>
      <c r="B23" s="7">
        <v>2900</v>
      </c>
      <c r="C23" s="7">
        <v>12</v>
      </c>
      <c r="D23" s="13">
        <f t="shared" si="2"/>
        <v>4.1379310344827587E-3</v>
      </c>
      <c r="E23" s="18">
        <v>2207</v>
      </c>
      <c r="F23" s="18">
        <v>2887</v>
      </c>
      <c r="G23" s="13">
        <f t="shared" si="3"/>
        <v>0.76446137859369589</v>
      </c>
    </row>
    <row r="24" spans="1:7" x14ac:dyDescent="0.35">
      <c r="A24" s="7" t="s">
        <v>46</v>
      </c>
      <c r="B24" s="7">
        <v>2869</v>
      </c>
      <c r="C24" s="7">
        <v>16</v>
      </c>
      <c r="D24" s="13">
        <f t="shared" si="2"/>
        <v>5.5768560474032764E-3</v>
      </c>
      <c r="E24" s="18">
        <v>2315</v>
      </c>
      <c r="F24" s="18">
        <v>2839</v>
      </c>
      <c r="G24" s="13">
        <f t="shared" si="3"/>
        <v>0.81542796759422331</v>
      </c>
    </row>
    <row r="25" spans="1:7" x14ac:dyDescent="0.35">
      <c r="A25" s="7" t="s">
        <v>47</v>
      </c>
      <c r="B25" s="7">
        <v>2830</v>
      </c>
      <c r="C25" s="7">
        <v>14</v>
      </c>
      <c r="D25" s="13">
        <f t="shared" si="2"/>
        <v>4.9469964664310955E-3</v>
      </c>
      <c r="E25" s="18">
        <v>2169</v>
      </c>
      <c r="F25" s="18">
        <v>2826</v>
      </c>
      <c r="G25" s="13">
        <f t="shared" si="3"/>
        <v>0.76751592356687903</v>
      </c>
    </row>
    <row r="26" spans="1:7" x14ac:dyDescent="0.35">
      <c r="A26" s="7" t="s">
        <v>48</v>
      </c>
      <c r="B26" s="7">
        <v>2793</v>
      </c>
      <c r="C26" s="7">
        <v>16</v>
      </c>
      <c r="D26" s="13">
        <f t="shared" si="2"/>
        <v>5.7286072323666313E-3</v>
      </c>
      <c r="E26" s="18">
        <v>2248</v>
      </c>
      <c r="F26" s="18">
        <v>2790</v>
      </c>
      <c r="G26" s="13">
        <f t="shared" si="3"/>
        <v>0.80573476702508962</v>
      </c>
    </row>
    <row r="27" spans="1:7" x14ac:dyDescent="0.35">
      <c r="A27" s="7" t="s">
        <v>49</v>
      </c>
      <c r="B27" s="7">
        <v>2750</v>
      </c>
      <c r="C27" s="7">
        <v>13</v>
      </c>
      <c r="D27" s="13">
        <f t="shared" si="2"/>
        <v>4.7272727272727275E-3</v>
      </c>
      <c r="E27" s="18">
        <v>2069</v>
      </c>
      <c r="F27" s="18">
        <v>2743</v>
      </c>
      <c r="G27" s="13">
        <f t="shared" si="3"/>
        <v>0.75428363106088225</v>
      </c>
    </row>
    <row r="28" spans="1:7" x14ac:dyDescent="0.35">
      <c r="A28" s="7" t="s">
        <v>50</v>
      </c>
      <c r="B28" s="7">
        <v>2700</v>
      </c>
      <c r="C28" s="7">
        <v>15</v>
      </c>
      <c r="D28" s="13">
        <f t="shared" si="2"/>
        <v>5.5555555555555558E-3</v>
      </c>
      <c r="E28" s="18">
        <v>2250</v>
      </c>
      <c r="F28" s="18">
        <v>2691</v>
      </c>
      <c r="G28" s="13">
        <f t="shared" si="3"/>
        <v>0.83612040133779264</v>
      </c>
    </row>
    <row r="29" spans="1:7" x14ac:dyDescent="0.35">
      <c r="A29" s="7" t="s">
        <v>51</v>
      </c>
      <c r="B29" s="7">
        <v>2690</v>
      </c>
      <c r="C29" s="7">
        <v>11</v>
      </c>
      <c r="D29" s="13">
        <f t="shared" si="2"/>
        <v>4.0892193308550186E-3</v>
      </c>
      <c r="E29" s="18">
        <v>2091</v>
      </c>
      <c r="F29" s="18">
        <v>2688</v>
      </c>
      <c r="G29" s="13">
        <f t="shared" si="3"/>
        <v>0.7779017857142857</v>
      </c>
    </row>
    <row r="30" spans="1:7" x14ac:dyDescent="0.35">
      <c r="A30" s="7" t="s">
        <v>52</v>
      </c>
      <c r="B30" s="7">
        <v>2632</v>
      </c>
      <c r="C30" s="7">
        <v>13</v>
      </c>
      <c r="D30" s="13">
        <f t="shared" si="2"/>
        <v>4.9392097264437688E-3</v>
      </c>
      <c r="E30" s="18">
        <v>2015</v>
      </c>
      <c r="F30" s="18">
        <v>2627</v>
      </c>
      <c r="G30" s="13">
        <f t="shared" si="3"/>
        <v>0.76703464027407686</v>
      </c>
    </row>
    <row r="31" spans="1:7" x14ac:dyDescent="0.35">
      <c r="A31" s="7" t="s">
        <v>53</v>
      </c>
      <c r="B31" s="7">
        <v>2593</v>
      </c>
      <c r="C31" s="7">
        <v>15</v>
      </c>
      <c r="D31" s="13">
        <f t="shared" si="2"/>
        <v>5.7848052448900887E-3</v>
      </c>
      <c r="E31" s="18">
        <v>1953</v>
      </c>
      <c r="F31" s="18">
        <v>2562</v>
      </c>
      <c r="G31" s="13">
        <f t="shared" si="3"/>
        <v>0.76229508196721307</v>
      </c>
    </row>
    <row r="32" spans="1:7" x14ac:dyDescent="0.35">
      <c r="A32" s="7" t="s">
        <v>54</v>
      </c>
      <c r="B32" s="7">
        <v>2529</v>
      </c>
      <c r="C32" s="7">
        <v>14</v>
      </c>
      <c r="D32" s="13">
        <f t="shared" si="2"/>
        <v>5.5357848952155E-3</v>
      </c>
      <c r="E32" s="18">
        <v>1996</v>
      </c>
      <c r="F32" s="18">
        <v>2523</v>
      </c>
      <c r="G32" s="13">
        <f t="shared" si="3"/>
        <v>0.79112168053904086</v>
      </c>
    </row>
    <row r="33" spans="1:7" x14ac:dyDescent="0.35">
      <c r="A33" s="7" t="s">
        <v>55</v>
      </c>
      <c r="B33" s="7">
        <v>2486</v>
      </c>
      <c r="C33" s="7">
        <v>15</v>
      </c>
      <c r="D33" s="13">
        <f t="shared" si="2"/>
        <v>6.0337892196299274E-3</v>
      </c>
      <c r="E33" s="18">
        <v>1947</v>
      </c>
      <c r="F33" s="18">
        <v>2478</v>
      </c>
      <c r="G33" s="13">
        <f t="shared" si="3"/>
        <v>0.7857142857142857</v>
      </c>
    </row>
    <row r="34" spans="1:7" x14ac:dyDescent="0.35">
      <c r="A34" s="7" t="s">
        <v>56</v>
      </c>
      <c r="B34" s="7">
        <v>2424</v>
      </c>
      <c r="C34" s="7">
        <v>11</v>
      </c>
      <c r="D34" s="13">
        <f t="shared" si="2"/>
        <v>4.5379537953795382E-3</v>
      </c>
      <c r="E34" s="18">
        <v>2005</v>
      </c>
      <c r="F34" s="18">
        <v>2418</v>
      </c>
      <c r="G34" s="13">
        <f t="shared" si="3"/>
        <v>0.82919768403639371</v>
      </c>
    </row>
    <row r="35" spans="1:7" x14ac:dyDescent="0.35">
      <c r="A35" s="7" t="s">
        <v>57</v>
      </c>
      <c r="B35" s="7">
        <v>2359</v>
      </c>
      <c r="C35" s="7">
        <v>13</v>
      </c>
      <c r="D35" s="13">
        <f t="shared" si="2"/>
        <v>5.5108096651123361E-3</v>
      </c>
      <c r="E35" s="18">
        <v>1952</v>
      </c>
      <c r="F35" s="18">
        <v>2357</v>
      </c>
      <c r="G35" s="13">
        <f t="shared" si="3"/>
        <v>0.828171404327535</v>
      </c>
    </row>
    <row r="36" spans="1:7" x14ac:dyDescent="0.35">
      <c r="A36" s="7" t="s">
        <v>58</v>
      </c>
      <c r="B36" s="7">
        <v>2281</v>
      </c>
      <c r="C36" s="7">
        <v>10</v>
      </c>
      <c r="D36" s="13">
        <f t="shared" si="2"/>
        <v>4.384042086804033E-3</v>
      </c>
      <c r="E36" s="18">
        <v>1735</v>
      </c>
      <c r="F36" s="18">
        <v>2279</v>
      </c>
      <c r="G36" s="13">
        <f t="shared" si="3"/>
        <v>0.76129881526985521</v>
      </c>
    </row>
    <row r="37" spans="1:7" x14ac:dyDescent="0.35">
      <c r="A37" s="7" t="s">
        <v>59</v>
      </c>
      <c r="B37" s="7">
        <v>2182</v>
      </c>
      <c r="C37" s="7">
        <v>11</v>
      </c>
      <c r="D37" s="13">
        <f t="shared" si="2"/>
        <v>5.0412465627864347E-3</v>
      </c>
      <c r="E37" s="18">
        <v>1709</v>
      </c>
      <c r="F37" s="18">
        <v>2157</v>
      </c>
      <c r="G37" s="13">
        <f t="shared" si="3"/>
        <v>0.79230412610106626</v>
      </c>
    </row>
    <row r="38" spans="1:7" x14ac:dyDescent="0.35">
      <c r="A38" s="7" t="s">
        <v>60</v>
      </c>
      <c r="B38" s="7">
        <v>2080</v>
      </c>
      <c r="C38" s="7">
        <v>8</v>
      </c>
      <c r="D38" s="13">
        <f t="shared" si="2"/>
        <v>3.8461538461538464E-3</v>
      </c>
      <c r="E38" s="18">
        <v>1625</v>
      </c>
      <c r="F38" s="18">
        <v>2071</v>
      </c>
      <c r="G38" s="13">
        <f t="shared" si="3"/>
        <v>0.7846450989859971</v>
      </c>
    </row>
    <row r="39" spans="1:7" x14ac:dyDescent="0.35">
      <c r="A39" s="7" t="s">
        <v>61</v>
      </c>
      <c r="B39" s="7">
        <v>1944</v>
      </c>
      <c r="C39" s="7">
        <v>12</v>
      </c>
      <c r="D39" s="13">
        <f t="shared" si="2"/>
        <v>6.1728395061728392E-3</v>
      </c>
      <c r="E39" s="18">
        <v>1620</v>
      </c>
      <c r="F39" s="18">
        <v>1938</v>
      </c>
      <c r="G39" s="13">
        <f t="shared" si="3"/>
        <v>0.83591331269349844</v>
      </c>
    </row>
    <row r="40" spans="1:7" x14ac:dyDescent="0.35">
      <c r="A40" s="7" t="s">
        <v>62</v>
      </c>
      <c r="B40" s="7">
        <v>1762</v>
      </c>
      <c r="C40" s="7">
        <v>8</v>
      </c>
      <c r="D40" s="13">
        <f t="shared" si="2"/>
        <v>4.5402951191827468E-3</v>
      </c>
      <c r="E40" s="18">
        <v>1411</v>
      </c>
      <c r="F40" s="18">
        <v>1760</v>
      </c>
      <c r="G40" s="13">
        <f t="shared" si="3"/>
        <v>0.8017045454545455</v>
      </c>
    </row>
    <row r="41" spans="1:7" x14ac:dyDescent="0.35">
      <c r="A41" s="7" t="s">
        <v>63</v>
      </c>
      <c r="B41" s="7">
        <v>1174</v>
      </c>
      <c r="C41" s="7">
        <v>5</v>
      </c>
      <c r="D41" s="13">
        <f t="shared" si="2"/>
        <v>4.2589437819420782E-3</v>
      </c>
      <c r="E41" s="18">
        <v>953</v>
      </c>
      <c r="F41" s="18">
        <v>1171</v>
      </c>
      <c r="G41" s="13">
        <f t="shared" si="3"/>
        <v>0.81383432963279245</v>
      </c>
    </row>
    <row r="42" spans="1:7" x14ac:dyDescent="0.35">
      <c r="A42" s="4" t="s">
        <v>7</v>
      </c>
      <c r="B42" s="5">
        <f>SUM(B2:B41)</f>
        <v>100016</v>
      </c>
      <c r="C42" s="5">
        <f>SUM(C2:C41)</f>
        <v>491</v>
      </c>
      <c r="D42" s="6">
        <f t="shared" ref="D42" si="4">C42/B42</f>
        <v>4.909214525675892E-3</v>
      </c>
      <c r="E42" s="5">
        <f>SUM(E2:E41)</f>
        <v>79657</v>
      </c>
      <c r="F42" s="5">
        <f>SUM(F2:F41)</f>
        <v>99608</v>
      </c>
      <c r="G42" s="15">
        <f>E42/F42</f>
        <v>0.79970484298449929</v>
      </c>
    </row>
  </sheetData>
  <pageMargins left="0.7" right="0.7" top="0.75" bottom="0.75" header="0.3" footer="0.3"/>
  <pageSetup paperSize="9" orientation="portrait" r:id="rId1"/>
  <ignoredErrors>
    <ignoredError sqref="D4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zoomScaleNormal="100" workbookViewId="0">
      <selection activeCell="C57" sqref="C57"/>
    </sheetView>
  </sheetViews>
  <sheetFormatPr defaultRowHeight="14.5" x14ac:dyDescent="0.35"/>
  <cols>
    <col min="1" max="1" width="37.7265625" customWidth="1"/>
    <col min="2" max="2" width="11.90625" customWidth="1"/>
    <col min="4" max="4" width="13.90625" bestFit="1" customWidth="1"/>
  </cols>
  <sheetData>
    <row r="1" spans="1:4" x14ac:dyDescent="0.35">
      <c r="A1" s="11" t="s">
        <v>9</v>
      </c>
      <c r="B1" s="1" t="s">
        <v>1</v>
      </c>
      <c r="C1" s="2" t="s">
        <v>2</v>
      </c>
      <c r="D1" s="2" t="s">
        <v>3</v>
      </c>
    </row>
    <row r="2" spans="1:4" x14ac:dyDescent="0.35">
      <c r="A2" s="8" t="s">
        <v>64</v>
      </c>
      <c r="B2" s="9">
        <v>28052</v>
      </c>
      <c r="C2" s="17">
        <v>134</v>
      </c>
      <c r="D2" s="10">
        <f>C2/B2</f>
        <v>4.7768430058462855E-3</v>
      </c>
    </row>
    <row r="3" spans="1:4" x14ac:dyDescent="0.35">
      <c r="A3" s="8" t="s">
        <v>66</v>
      </c>
      <c r="B3" s="9">
        <v>16123</v>
      </c>
      <c r="C3" s="17">
        <v>82</v>
      </c>
      <c r="D3" s="10">
        <f t="shared" ref="D3:D49" si="0">C3/B3</f>
        <v>5.0859021273956459E-3</v>
      </c>
    </row>
    <row r="4" spans="1:4" x14ac:dyDescent="0.35">
      <c r="A4" s="8" t="s">
        <v>65</v>
      </c>
      <c r="B4" s="9">
        <v>9418</v>
      </c>
      <c r="C4" s="17">
        <v>44</v>
      </c>
      <c r="D4" s="10">
        <f t="shared" si="0"/>
        <v>4.6719048630282436E-3</v>
      </c>
    </row>
    <row r="5" spans="1:4" x14ac:dyDescent="0.35">
      <c r="A5" s="8" t="s">
        <v>67</v>
      </c>
      <c r="B5" s="9">
        <v>9113</v>
      </c>
      <c r="C5" s="17">
        <v>48</v>
      </c>
      <c r="D5" s="10">
        <f t="shared" si="0"/>
        <v>5.2672007022934271E-3</v>
      </c>
    </row>
    <row r="6" spans="1:4" x14ac:dyDescent="0.35">
      <c r="A6" s="8" t="s">
        <v>68</v>
      </c>
      <c r="B6" s="9">
        <v>7362</v>
      </c>
      <c r="C6" s="17">
        <v>35</v>
      </c>
      <c r="D6" s="10">
        <f t="shared" si="0"/>
        <v>4.7541428959521868E-3</v>
      </c>
    </row>
    <row r="7" spans="1:4" x14ac:dyDescent="0.35">
      <c r="A7" s="8" t="s">
        <v>75</v>
      </c>
      <c r="B7" s="9">
        <v>5293</v>
      </c>
      <c r="C7" s="17">
        <v>31</v>
      </c>
      <c r="D7" s="10">
        <f t="shared" si="0"/>
        <v>5.8567919894199887E-3</v>
      </c>
    </row>
    <row r="8" spans="1:4" x14ac:dyDescent="0.35">
      <c r="A8" s="8" t="s">
        <v>81</v>
      </c>
      <c r="B8" s="9">
        <v>4029</v>
      </c>
      <c r="C8" s="17">
        <v>17</v>
      </c>
      <c r="D8" s="10">
        <f t="shared" si="0"/>
        <v>4.2194092827004216E-3</v>
      </c>
    </row>
    <row r="9" spans="1:4" x14ac:dyDescent="0.35">
      <c r="A9" s="19" t="s">
        <v>85</v>
      </c>
      <c r="B9" s="9">
        <v>3574</v>
      </c>
      <c r="C9" s="17">
        <v>21</v>
      </c>
      <c r="D9" s="10">
        <f t="shared" si="0"/>
        <v>5.8757694459988805E-3</v>
      </c>
    </row>
    <row r="10" spans="1:4" x14ac:dyDescent="0.35">
      <c r="A10" s="8" t="s">
        <v>69</v>
      </c>
      <c r="B10" s="9">
        <v>2925</v>
      </c>
      <c r="C10" s="17">
        <v>13</v>
      </c>
      <c r="D10" s="10">
        <f t="shared" si="0"/>
        <v>4.4444444444444444E-3</v>
      </c>
    </row>
    <row r="11" spans="1:4" x14ac:dyDescent="0.35">
      <c r="A11" s="9" t="s">
        <v>101</v>
      </c>
      <c r="B11" s="9">
        <v>2352</v>
      </c>
      <c r="C11" s="17">
        <v>11</v>
      </c>
      <c r="D11" s="10">
        <f t="shared" si="0"/>
        <v>4.6768707482993197E-3</v>
      </c>
    </row>
    <row r="12" spans="1:4" x14ac:dyDescent="0.35">
      <c r="A12" s="8" t="s">
        <v>70</v>
      </c>
      <c r="B12" s="9">
        <v>1218</v>
      </c>
      <c r="C12" s="17">
        <v>7</v>
      </c>
      <c r="D12" s="10">
        <f t="shared" si="0"/>
        <v>5.7471264367816091E-3</v>
      </c>
    </row>
    <row r="13" spans="1:4" x14ac:dyDescent="0.35">
      <c r="A13" s="21" t="s">
        <v>88</v>
      </c>
      <c r="B13" s="17">
        <v>1235</v>
      </c>
      <c r="C13" s="17">
        <v>6</v>
      </c>
      <c r="D13" s="10">
        <f t="shared" si="0"/>
        <v>4.8582995951417006E-3</v>
      </c>
    </row>
    <row r="14" spans="1:4" x14ac:dyDescent="0.35">
      <c r="A14" s="8" t="s">
        <v>71</v>
      </c>
      <c r="B14" s="17">
        <v>988</v>
      </c>
      <c r="C14" s="17">
        <v>4</v>
      </c>
      <c r="D14" s="10">
        <f t="shared" si="0"/>
        <v>4.048582995951417E-3</v>
      </c>
    </row>
    <row r="15" spans="1:4" x14ac:dyDescent="0.35">
      <c r="A15" s="19" t="s">
        <v>84</v>
      </c>
      <c r="B15" s="17">
        <v>923</v>
      </c>
      <c r="C15" s="17">
        <v>3</v>
      </c>
      <c r="D15" s="10">
        <f t="shared" si="0"/>
        <v>3.2502708559046588E-3</v>
      </c>
    </row>
    <row r="16" spans="1:4" x14ac:dyDescent="0.35">
      <c r="A16" s="8" t="s">
        <v>72</v>
      </c>
      <c r="B16" s="17">
        <v>855</v>
      </c>
      <c r="C16" s="17">
        <v>5</v>
      </c>
      <c r="D16" s="10">
        <f t="shared" si="0"/>
        <v>5.8479532163742687E-3</v>
      </c>
    </row>
    <row r="17" spans="1:4" x14ac:dyDescent="0.35">
      <c r="A17" s="8" t="s">
        <v>73</v>
      </c>
      <c r="B17" s="17">
        <v>784</v>
      </c>
      <c r="C17" s="17">
        <v>4</v>
      </c>
      <c r="D17" s="10">
        <f t="shared" si="0"/>
        <v>5.1020408163265302E-3</v>
      </c>
    </row>
    <row r="18" spans="1:4" x14ac:dyDescent="0.35">
      <c r="A18" s="9" t="s">
        <v>102</v>
      </c>
      <c r="B18" s="17">
        <v>701</v>
      </c>
      <c r="C18" s="17">
        <v>5</v>
      </c>
      <c r="D18" s="10">
        <f t="shared" si="0"/>
        <v>7.1326676176890159E-3</v>
      </c>
    </row>
    <row r="19" spans="1:4" x14ac:dyDescent="0.35">
      <c r="A19" s="8" t="s">
        <v>74</v>
      </c>
      <c r="B19" s="9">
        <v>694</v>
      </c>
      <c r="C19" s="17">
        <v>3</v>
      </c>
      <c r="D19" s="10">
        <f t="shared" si="0"/>
        <v>4.3227665706051877E-3</v>
      </c>
    </row>
    <row r="20" spans="1:4" x14ac:dyDescent="0.35">
      <c r="A20" s="8" t="s">
        <v>76</v>
      </c>
      <c r="B20" s="20">
        <v>638</v>
      </c>
      <c r="C20" s="17">
        <v>4</v>
      </c>
      <c r="D20" s="10">
        <f t="shared" si="0"/>
        <v>6.269592476489028E-3</v>
      </c>
    </row>
    <row r="21" spans="1:4" x14ac:dyDescent="0.35">
      <c r="A21" s="8" t="s">
        <v>77</v>
      </c>
      <c r="B21" s="17">
        <v>599</v>
      </c>
      <c r="C21" s="17">
        <v>3</v>
      </c>
      <c r="D21" s="10">
        <f t="shared" si="0"/>
        <v>5.008347245409015E-3</v>
      </c>
    </row>
    <row r="22" spans="1:4" x14ac:dyDescent="0.35">
      <c r="A22" s="8" t="s">
        <v>78</v>
      </c>
      <c r="B22" s="20">
        <v>482</v>
      </c>
      <c r="C22" s="17">
        <v>2</v>
      </c>
      <c r="D22" s="10">
        <f t="shared" si="0"/>
        <v>4.1493775933609959E-3</v>
      </c>
    </row>
    <row r="23" spans="1:4" x14ac:dyDescent="0.35">
      <c r="A23" s="8" t="s">
        <v>79</v>
      </c>
      <c r="B23" s="17">
        <v>455</v>
      </c>
      <c r="C23" s="17">
        <v>3</v>
      </c>
      <c r="D23" s="10">
        <f t="shared" si="0"/>
        <v>6.5934065934065934E-3</v>
      </c>
    </row>
    <row r="24" spans="1:4" x14ac:dyDescent="0.35">
      <c r="A24" s="8" t="s">
        <v>80</v>
      </c>
      <c r="B24" s="17">
        <v>382</v>
      </c>
      <c r="C24" s="17">
        <v>2</v>
      </c>
      <c r="D24" s="10">
        <f t="shared" si="0"/>
        <v>5.235602094240838E-3</v>
      </c>
    </row>
    <row r="25" spans="1:4" x14ac:dyDescent="0.35">
      <c r="A25" s="8" t="s">
        <v>82</v>
      </c>
      <c r="B25" s="20">
        <v>295</v>
      </c>
      <c r="C25" s="17">
        <v>2</v>
      </c>
      <c r="D25" s="10">
        <f t="shared" si="0"/>
        <v>6.7796610169491523E-3</v>
      </c>
    </row>
    <row r="26" spans="1:4" x14ac:dyDescent="0.35">
      <c r="A26" s="8" t="s">
        <v>83</v>
      </c>
      <c r="B26" s="20">
        <v>279</v>
      </c>
      <c r="C26" s="17">
        <v>1</v>
      </c>
      <c r="D26" s="10">
        <f t="shared" si="0"/>
        <v>3.5842293906810036E-3</v>
      </c>
    </row>
    <row r="27" spans="1:4" x14ac:dyDescent="0.35">
      <c r="A27" s="21" t="s">
        <v>86</v>
      </c>
      <c r="B27" s="17">
        <v>258</v>
      </c>
      <c r="C27" s="17">
        <v>0</v>
      </c>
      <c r="D27" s="10">
        <f t="shared" si="0"/>
        <v>0</v>
      </c>
    </row>
    <row r="28" spans="1:4" x14ac:dyDescent="0.35">
      <c r="A28" s="21" t="s">
        <v>87</v>
      </c>
      <c r="B28" s="20">
        <v>199</v>
      </c>
      <c r="C28" s="17">
        <v>1</v>
      </c>
      <c r="D28" s="10">
        <f t="shared" si="0"/>
        <v>5.0251256281407036E-3</v>
      </c>
    </row>
    <row r="29" spans="1:4" x14ac:dyDescent="0.35">
      <c r="A29" s="21" t="s">
        <v>89</v>
      </c>
      <c r="B29" s="17">
        <v>151</v>
      </c>
      <c r="C29" s="17">
        <v>0</v>
      </c>
      <c r="D29" s="10">
        <f t="shared" si="0"/>
        <v>0</v>
      </c>
    </row>
    <row r="30" spans="1:4" x14ac:dyDescent="0.35">
      <c r="A30" s="21" t="s">
        <v>90</v>
      </c>
      <c r="B30" s="17">
        <v>132</v>
      </c>
      <c r="C30" s="17">
        <v>0</v>
      </c>
      <c r="D30" s="10">
        <f t="shared" si="0"/>
        <v>0</v>
      </c>
    </row>
    <row r="31" spans="1:4" x14ac:dyDescent="0.35">
      <c r="A31" s="21" t="s">
        <v>91</v>
      </c>
      <c r="B31" s="17">
        <v>91</v>
      </c>
      <c r="C31" s="17">
        <v>0</v>
      </c>
      <c r="D31" s="10">
        <f t="shared" si="0"/>
        <v>0</v>
      </c>
    </row>
    <row r="32" spans="1:4" x14ac:dyDescent="0.35">
      <c r="A32" s="21" t="s">
        <v>92</v>
      </c>
      <c r="B32" s="17">
        <v>87</v>
      </c>
      <c r="C32" s="17">
        <v>0</v>
      </c>
      <c r="D32" s="10">
        <f t="shared" si="0"/>
        <v>0</v>
      </c>
    </row>
    <row r="33" spans="1:4" x14ac:dyDescent="0.35">
      <c r="A33" s="21" t="s">
        <v>93</v>
      </c>
      <c r="B33" s="20">
        <v>67</v>
      </c>
      <c r="C33" s="17">
        <v>0</v>
      </c>
      <c r="D33" s="10">
        <f t="shared" si="0"/>
        <v>0</v>
      </c>
    </row>
    <row r="34" spans="1:4" x14ac:dyDescent="0.35">
      <c r="A34" s="21" t="s">
        <v>94</v>
      </c>
      <c r="B34" s="20">
        <v>57</v>
      </c>
      <c r="C34" s="17">
        <v>0</v>
      </c>
      <c r="D34" s="10">
        <f t="shared" si="0"/>
        <v>0</v>
      </c>
    </row>
    <row r="35" spans="1:4" x14ac:dyDescent="0.35">
      <c r="A35" s="21" t="s">
        <v>95</v>
      </c>
      <c r="B35" s="20">
        <v>41</v>
      </c>
      <c r="C35" s="17">
        <v>0</v>
      </c>
      <c r="D35" s="10">
        <f t="shared" si="0"/>
        <v>0</v>
      </c>
    </row>
    <row r="36" spans="1:4" x14ac:dyDescent="0.35">
      <c r="A36" s="21" t="s">
        <v>96</v>
      </c>
      <c r="B36" s="20">
        <v>35</v>
      </c>
      <c r="C36" s="17">
        <v>0</v>
      </c>
      <c r="D36" s="10">
        <f t="shared" si="0"/>
        <v>0</v>
      </c>
    </row>
    <row r="37" spans="1:4" x14ac:dyDescent="0.35">
      <c r="A37" s="9" t="s">
        <v>97</v>
      </c>
      <c r="B37" s="17">
        <v>20</v>
      </c>
      <c r="C37" s="17">
        <v>0</v>
      </c>
      <c r="D37" s="10">
        <f t="shared" si="0"/>
        <v>0</v>
      </c>
    </row>
    <row r="38" spans="1:4" x14ac:dyDescent="0.35">
      <c r="A38" s="9" t="s">
        <v>98</v>
      </c>
      <c r="B38" s="20">
        <v>19</v>
      </c>
      <c r="C38" s="17">
        <v>0</v>
      </c>
      <c r="D38" s="10">
        <f t="shared" si="0"/>
        <v>0</v>
      </c>
    </row>
    <row r="39" spans="1:4" x14ac:dyDescent="0.35">
      <c r="A39" s="9" t="s">
        <v>99</v>
      </c>
      <c r="B39" s="17">
        <v>17</v>
      </c>
      <c r="C39" s="17">
        <v>0</v>
      </c>
      <c r="D39" s="10">
        <f t="shared" si="0"/>
        <v>0</v>
      </c>
    </row>
    <row r="40" spans="1:4" x14ac:dyDescent="0.35">
      <c r="A40" s="21" t="s">
        <v>100</v>
      </c>
      <c r="B40" s="20">
        <v>13</v>
      </c>
      <c r="C40" s="17">
        <v>0</v>
      </c>
      <c r="D40" s="10">
        <f t="shared" si="0"/>
        <v>0</v>
      </c>
    </row>
    <row r="41" spans="1:4" x14ac:dyDescent="0.35">
      <c r="A41" s="9" t="s">
        <v>271</v>
      </c>
      <c r="B41" s="17">
        <v>13</v>
      </c>
      <c r="C41" s="17">
        <v>0</v>
      </c>
      <c r="D41" s="10">
        <f t="shared" si="0"/>
        <v>0</v>
      </c>
    </row>
    <row r="42" spans="1:4" x14ac:dyDescent="0.35">
      <c r="A42" s="9" t="s">
        <v>272</v>
      </c>
      <c r="B42" s="20">
        <v>12</v>
      </c>
      <c r="C42" s="17">
        <v>0</v>
      </c>
      <c r="D42" s="10">
        <f t="shared" si="0"/>
        <v>0</v>
      </c>
    </row>
    <row r="43" spans="1:4" x14ac:dyDescent="0.35">
      <c r="A43" s="9" t="s">
        <v>273</v>
      </c>
      <c r="B43" s="17">
        <v>10</v>
      </c>
      <c r="C43" s="17">
        <v>0</v>
      </c>
      <c r="D43" s="10">
        <f t="shared" si="0"/>
        <v>0</v>
      </c>
    </row>
    <row r="44" spans="1:4" x14ac:dyDescent="0.35">
      <c r="A44" s="9" t="s">
        <v>274</v>
      </c>
      <c r="B44" s="17">
        <v>9</v>
      </c>
      <c r="C44" s="17">
        <v>0</v>
      </c>
      <c r="D44" s="10">
        <f t="shared" si="0"/>
        <v>0</v>
      </c>
    </row>
    <row r="45" spans="1:4" x14ac:dyDescent="0.35">
      <c r="A45" s="9" t="s">
        <v>275</v>
      </c>
      <c r="B45" s="17">
        <v>7</v>
      </c>
      <c r="C45" s="17">
        <v>0</v>
      </c>
      <c r="D45" s="10">
        <f t="shared" si="0"/>
        <v>0</v>
      </c>
    </row>
    <row r="46" spans="1:4" x14ac:dyDescent="0.35">
      <c r="A46" s="9" t="s">
        <v>276</v>
      </c>
      <c r="B46" s="17">
        <v>4</v>
      </c>
      <c r="C46" s="17">
        <v>0</v>
      </c>
      <c r="D46" s="10">
        <f t="shared" si="0"/>
        <v>0</v>
      </c>
    </row>
    <row r="47" spans="1:4" x14ac:dyDescent="0.35">
      <c r="A47" s="9" t="s">
        <v>277</v>
      </c>
      <c r="B47" s="20">
        <v>2</v>
      </c>
      <c r="C47" s="17">
        <v>0</v>
      </c>
      <c r="D47" s="10">
        <f t="shared" si="0"/>
        <v>0</v>
      </c>
    </row>
    <row r="48" spans="1:4" x14ac:dyDescent="0.35">
      <c r="A48" s="9" t="s">
        <v>278</v>
      </c>
      <c r="B48" s="17">
        <v>2</v>
      </c>
      <c r="C48" s="20">
        <v>0</v>
      </c>
      <c r="D48" s="10">
        <f t="shared" si="0"/>
        <v>0</v>
      </c>
    </row>
    <row r="49" spans="1:4" x14ac:dyDescent="0.35">
      <c r="A49" s="9" t="s">
        <v>279</v>
      </c>
      <c r="B49" s="20">
        <v>1</v>
      </c>
      <c r="C49" s="20">
        <v>0</v>
      </c>
      <c r="D49" s="10">
        <f t="shared" si="0"/>
        <v>0</v>
      </c>
    </row>
    <row r="50" spans="1:4" x14ac:dyDescent="0.35">
      <c r="A50" s="4" t="s">
        <v>7</v>
      </c>
      <c r="B50" s="5">
        <f>SUM(B2:B49)</f>
        <v>100016</v>
      </c>
      <c r="C50" s="5">
        <f>SUM(C2:C49)</f>
        <v>491</v>
      </c>
      <c r="D50" s="6">
        <f>C50/B50</f>
        <v>4.909214525675892E-3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C35" sqref="C35"/>
    </sheetView>
  </sheetViews>
  <sheetFormatPr defaultRowHeight="14.5" x14ac:dyDescent="0.35"/>
  <cols>
    <col min="1" max="1" width="10.7265625" bestFit="1" customWidth="1"/>
    <col min="2" max="2" width="10.90625" bestFit="1" customWidth="1"/>
    <col min="3" max="3" width="5.453125" bestFit="1" customWidth="1"/>
    <col min="4" max="4" width="13.90625" bestFit="1" customWidth="1"/>
  </cols>
  <sheetData>
    <row r="1" spans="1:4" x14ac:dyDescent="0.35">
      <c r="A1" s="11" t="s">
        <v>8</v>
      </c>
      <c r="B1" s="1" t="s">
        <v>1</v>
      </c>
      <c r="C1" s="2" t="s">
        <v>2</v>
      </c>
      <c r="D1" s="2" t="s">
        <v>3</v>
      </c>
    </row>
    <row r="2" spans="1:4" x14ac:dyDescent="0.35">
      <c r="A2" s="8">
        <v>0</v>
      </c>
      <c r="B2" s="9">
        <v>823</v>
      </c>
      <c r="C2" s="9">
        <v>4</v>
      </c>
      <c r="D2" s="10">
        <f t="shared" ref="D2:D26" si="0">C2/B2</f>
        <v>4.8602673147023082E-3</v>
      </c>
    </row>
    <row r="3" spans="1:4" x14ac:dyDescent="0.35">
      <c r="A3" s="8">
        <v>1</v>
      </c>
      <c r="B3" s="9">
        <v>1055</v>
      </c>
      <c r="C3" s="9">
        <v>5</v>
      </c>
      <c r="D3" s="10">
        <f t="shared" si="0"/>
        <v>4.7393364928909956E-3</v>
      </c>
    </row>
    <row r="4" spans="1:4" x14ac:dyDescent="0.35">
      <c r="A4" s="8">
        <v>2</v>
      </c>
      <c r="B4" s="9">
        <v>3364</v>
      </c>
      <c r="C4" s="9">
        <v>15</v>
      </c>
      <c r="D4" s="10">
        <f t="shared" si="0"/>
        <v>4.4589774078478001E-3</v>
      </c>
    </row>
    <row r="5" spans="1:4" x14ac:dyDescent="0.35">
      <c r="A5" s="8">
        <v>3</v>
      </c>
      <c r="B5" s="9">
        <v>2374</v>
      </c>
      <c r="C5" s="9">
        <v>12</v>
      </c>
      <c r="D5" s="10">
        <f t="shared" si="0"/>
        <v>5.054759898904802E-3</v>
      </c>
    </row>
    <row r="6" spans="1:4" x14ac:dyDescent="0.35">
      <c r="A6" s="8">
        <v>4</v>
      </c>
      <c r="B6" s="9">
        <v>3806</v>
      </c>
      <c r="C6" s="9">
        <v>18</v>
      </c>
      <c r="D6" s="10">
        <f t="shared" si="0"/>
        <v>4.7293746715712038E-3</v>
      </c>
    </row>
    <row r="7" spans="1:4" x14ac:dyDescent="0.35">
      <c r="A7" s="8">
        <v>5</v>
      </c>
      <c r="B7" s="9">
        <v>2968</v>
      </c>
      <c r="C7" s="9">
        <v>16</v>
      </c>
      <c r="D7" s="10">
        <f t="shared" si="0"/>
        <v>5.3908355795148251E-3</v>
      </c>
    </row>
    <row r="8" spans="1:4" x14ac:dyDescent="0.35">
      <c r="A8" s="8">
        <v>6</v>
      </c>
      <c r="B8" s="12">
        <v>5195</v>
      </c>
      <c r="C8" s="12">
        <v>27</v>
      </c>
      <c r="D8" s="16">
        <f t="shared" si="0"/>
        <v>5.1973051010587102E-3</v>
      </c>
    </row>
    <row r="9" spans="1:4" x14ac:dyDescent="0.35">
      <c r="A9" s="8">
        <v>7</v>
      </c>
      <c r="B9" s="12">
        <v>3614</v>
      </c>
      <c r="C9" s="12">
        <v>14</v>
      </c>
      <c r="D9" s="16">
        <f t="shared" si="0"/>
        <v>3.87382401770891E-3</v>
      </c>
    </row>
    <row r="10" spans="1:4" x14ac:dyDescent="0.35">
      <c r="A10" s="8">
        <v>8</v>
      </c>
      <c r="B10" s="12">
        <v>2445</v>
      </c>
      <c r="C10" s="12">
        <v>11</v>
      </c>
      <c r="D10" s="16">
        <f t="shared" si="0"/>
        <v>4.4989775051124748E-3</v>
      </c>
    </row>
    <row r="11" spans="1:4" x14ac:dyDescent="0.35">
      <c r="A11" s="8">
        <v>9</v>
      </c>
      <c r="B11" s="12">
        <v>1946</v>
      </c>
      <c r="C11" s="12">
        <v>8</v>
      </c>
      <c r="D11" s="16">
        <f t="shared" si="0"/>
        <v>4.1109969167523125E-3</v>
      </c>
    </row>
    <row r="12" spans="1:4" x14ac:dyDescent="0.35">
      <c r="A12" s="8">
        <v>10</v>
      </c>
      <c r="B12" s="12">
        <v>3099</v>
      </c>
      <c r="C12" s="12">
        <v>13</v>
      </c>
      <c r="D12" s="16">
        <f t="shared" si="0"/>
        <v>4.1949015811552116E-3</v>
      </c>
    </row>
    <row r="13" spans="1:4" x14ac:dyDescent="0.35">
      <c r="A13" s="8">
        <v>11</v>
      </c>
      <c r="B13" s="12">
        <v>4671</v>
      </c>
      <c r="C13" s="12">
        <v>24</v>
      </c>
      <c r="D13" s="16">
        <f t="shared" si="0"/>
        <v>5.1380860629415539E-3</v>
      </c>
    </row>
    <row r="14" spans="1:4" x14ac:dyDescent="0.35">
      <c r="A14" s="8">
        <v>12</v>
      </c>
      <c r="B14" s="12">
        <v>6298</v>
      </c>
      <c r="C14" s="12">
        <v>29</v>
      </c>
      <c r="D14" s="16">
        <f t="shared" si="0"/>
        <v>4.6046363925055572E-3</v>
      </c>
    </row>
    <row r="15" spans="1:4" x14ac:dyDescent="0.35">
      <c r="A15" s="8">
        <v>13</v>
      </c>
      <c r="B15" s="12">
        <v>7907</v>
      </c>
      <c r="C15" s="12">
        <v>42</v>
      </c>
      <c r="D15" s="16">
        <f t="shared" si="0"/>
        <v>5.3117490830909319E-3</v>
      </c>
    </row>
    <row r="16" spans="1:4" x14ac:dyDescent="0.35">
      <c r="A16" s="8">
        <v>14</v>
      </c>
      <c r="B16" s="12">
        <v>10122</v>
      </c>
      <c r="C16" s="12">
        <v>48</v>
      </c>
      <c r="D16" s="16">
        <f t="shared" si="0"/>
        <v>4.7421458209839949E-3</v>
      </c>
    </row>
    <row r="17" spans="1:4" x14ac:dyDescent="0.35">
      <c r="A17" s="8">
        <v>15</v>
      </c>
      <c r="B17" s="12">
        <v>11775</v>
      </c>
      <c r="C17" s="12">
        <v>65</v>
      </c>
      <c r="D17" s="16">
        <f t="shared" si="0"/>
        <v>5.5201698513800421E-3</v>
      </c>
    </row>
    <row r="18" spans="1:4" x14ac:dyDescent="0.35">
      <c r="A18" s="8">
        <v>16</v>
      </c>
      <c r="B18" s="12">
        <v>8268</v>
      </c>
      <c r="C18" s="12">
        <v>39</v>
      </c>
      <c r="D18" s="16">
        <f t="shared" si="0"/>
        <v>4.7169811320754715E-3</v>
      </c>
    </row>
    <row r="19" spans="1:4" x14ac:dyDescent="0.35">
      <c r="A19" s="8">
        <v>17</v>
      </c>
      <c r="B19" s="12">
        <v>5929</v>
      </c>
      <c r="C19" s="12">
        <v>32</v>
      </c>
      <c r="D19" s="16">
        <f t="shared" si="0"/>
        <v>5.3972002023950074E-3</v>
      </c>
    </row>
    <row r="20" spans="1:4" x14ac:dyDescent="0.35">
      <c r="A20" s="8">
        <v>18</v>
      </c>
      <c r="B20" s="12">
        <v>3726</v>
      </c>
      <c r="C20" s="12">
        <v>19</v>
      </c>
      <c r="D20" s="16">
        <f t="shared" si="0"/>
        <v>5.0993022007514762E-3</v>
      </c>
    </row>
    <row r="21" spans="1:4" x14ac:dyDescent="0.35">
      <c r="A21" s="8">
        <v>19</v>
      </c>
      <c r="B21" s="12">
        <v>4529</v>
      </c>
      <c r="C21" s="12">
        <v>21</v>
      </c>
      <c r="D21" s="16">
        <f t="shared" si="0"/>
        <v>4.6367851622874804E-3</v>
      </c>
    </row>
    <row r="22" spans="1:4" x14ac:dyDescent="0.35">
      <c r="A22" s="8">
        <v>20</v>
      </c>
      <c r="B22" s="12">
        <v>2165</v>
      </c>
      <c r="C22" s="12">
        <v>9</v>
      </c>
      <c r="D22" s="16">
        <f t="shared" si="0"/>
        <v>4.1570438799076216E-3</v>
      </c>
    </row>
    <row r="23" spans="1:4" x14ac:dyDescent="0.35">
      <c r="A23" s="8">
        <v>21</v>
      </c>
      <c r="B23" s="9">
        <v>1801</v>
      </c>
      <c r="C23" s="9">
        <v>10</v>
      </c>
      <c r="D23" s="10">
        <f t="shared" si="0"/>
        <v>5.5524708495280403E-3</v>
      </c>
    </row>
    <row r="24" spans="1:4" x14ac:dyDescent="0.35">
      <c r="A24" s="8">
        <v>22</v>
      </c>
      <c r="B24" s="9">
        <v>932</v>
      </c>
      <c r="C24" s="9">
        <v>4</v>
      </c>
      <c r="D24" s="10">
        <f t="shared" si="0"/>
        <v>4.2918454935622317E-3</v>
      </c>
    </row>
    <row r="25" spans="1:4" x14ac:dyDescent="0.35">
      <c r="A25" s="8">
        <v>23</v>
      </c>
      <c r="B25" s="9">
        <v>1204</v>
      </c>
      <c r="C25" s="9">
        <v>6</v>
      </c>
      <c r="D25" s="10">
        <f t="shared" si="0"/>
        <v>4.9833887043189366E-3</v>
      </c>
    </row>
    <row r="26" spans="1:4" x14ac:dyDescent="0.35">
      <c r="A26" s="4" t="s">
        <v>7</v>
      </c>
      <c r="B26" s="5">
        <f>SUM(B2:B25)</f>
        <v>100016</v>
      </c>
      <c r="C26" s="5">
        <f>SUM(C2:C25)</f>
        <v>491</v>
      </c>
      <c r="D26" s="6">
        <f t="shared" si="0"/>
        <v>4.909214525675892E-3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C28" sqref="C28"/>
    </sheetView>
  </sheetViews>
  <sheetFormatPr defaultRowHeight="14.5" x14ac:dyDescent="0.35"/>
  <cols>
    <col min="1" max="1" width="25.6328125" customWidth="1"/>
    <col min="2" max="2" width="12.6328125" customWidth="1"/>
    <col min="4" max="4" width="13.90625" bestFit="1" customWidth="1"/>
  </cols>
  <sheetData>
    <row r="1" spans="1:4" x14ac:dyDescent="0.35">
      <c r="A1" s="11" t="s">
        <v>10</v>
      </c>
      <c r="B1" s="1" t="s">
        <v>1</v>
      </c>
      <c r="C1" s="2" t="s">
        <v>2</v>
      </c>
      <c r="D1" s="2" t="s">
        <v>3</v>
      </c>
    </row>
    <row r="2" spans="1:4" x14ac:dyDescent="0.35">
      <c r="A2" s="8" t="s">
        <v>103</v>
      </c>
      <c r="B2" s="17">
        <v>415</v>
      </c>
      <c r="C2" s="17">
        <v>2</v>
      </c>
      <c r="D2" s="10">
        <f>C2/B2</f>
        <v>4.8192771084337354E-3</v>
      </c>
    </row>
    <row r="3" spans="1:4" x14ac:dyDescent="0.35">
      <c r="A3" s="8" t="s">
        <v>104</v>
      </c>
      <c r="B3" s="17">
        <v>15534</v>
      </c>
      <c r="C3" s="17">
        <v>64</v>
      </c>
      <c r="D3" s="10">
        <f t="shared" ref="D3:D18" si="0">C3/B3</f>
        <v>4.1199948500064377E-3</v>
      </c>
    </row>
    <row r="4" spans="1:4" x14ac:dyDescent="0.35">
      <c r="A4" s="8" t="s">
        <v>105</v>
      </c>
      <c r="B4" s="17">
        <v>2077</v>
      </c>
      <c r="C4" s="17">
        <v>11</v>
      </c>
      <c r="D4" s="10">
        <f t="shared" si="0"/>
        <v>5.296100144439095E-3</v>
      </c>
    </row>
    <row r="5" spans="1:4" x14ac:dyDescent="0.35">
      <c r="A5" s="8" t="s">
        <v>106</v>
      </c>
      <c r="B5" s="17">
        <v>4317</v>
      </c>
      <c r="C5" s="17">
        <v>18</v>
      </c>
      <c r="D5" s="10">
        <f t="shared" si="0"/>
        <v>4.1695621959694229E-3</v>
      </c>
    </row>
    <row r="6" spans="1:4" x14ac:dyDescent="0.35">
      <c r="A6" s="8" t="s">
        <v>107</v>
      </c>
      <c r="B6" s="17">
        <v>4</v>
      </c>
      <c r="C6" s="17">
        <v>0</v>
      </c>
      <c r="D6" s="10">
        <f t="shared" si="0"/>
        <v>0</v>
      </c>
    </row>
    <row r="7" spans="1:4" x14ac:dyDescent="0.35">
      <c r="A7" s="8" t="s">
        <v>108</v>
      </c>
      <c r="B7" s="17">
        <v>49133</v>
      </c>
      <c r="C7" s="17">
        <v>254</v>
      </c>
      <c r="D7" s="10">
        <f t="shared" si="0"/>
        <v>5.1696415850853803E-3</v>
      </c>
    </row>
    <row r="8" spans="1:4" x14ac:dyDescent="0.35">
      <c r="A8" s="8" t="s">
        <v>109</v>
      </c>
      <c r="B8" s="17">
        <v>22</v>
      </c>
      <c r="C8" s="17">
        <v>0</v>
      </c>
      <c r="D8" s="10">
        <f t="shared" si="0"/>
        <v>0</v>
      </c>
    </row>
    <row r="9" spans="1:4" x14ac:dyDescent="0.35">
      <c r="A9" s="8" t="s">
        <v>110</v>
      </c>
      <c r="B9" s="17">
        <v>1454</v>
      </c>
      <c r="C9" s="17">
        <v>7</v>
      </c>
      <c r="D9" s="10">
        <f t="shared" si="0"/>
        <v>4.8143053645116922E-3</v>
      </c>
    </row>
    <row r="10" spans="1:4" x14ac:dyDescent="0.35">
      <c r="A10" s="8" t="s">
        <v>111</v>
      </c>
      <c r="B10" s="17">
        <v>187</v>
      </c>
      <c r="C10" s="17">
        <v>1</v>
      </c>
      <c r="D10" s="10">
        <f t="shared" si="0"/>
        <v>5.3475935828877002E-3</v>
      </c>
    </row>
    <row r="11" spans="1:4" x14ac:dyDescent="0.35">
      <c r="A11" s="8" t="s">
        <v>112</v>
      </c>
      <c r="B11" s="17">
        <v>2631</v>
      </c>
      <c r="C11" s="17">
        <v>12</v>
      </c>
      <c r="D11" s="10">
        <f t="shared" si="0"/>
        <v>4.5610034207525657E-3</v>
      </c>
    </row>
    <row r="12" spans="1:4" x14ac:dyDescent="0.35">
      <c r="A12" s="8" t="s">
        <v>113</v>
      </c>
      <c r="B12" s="17">
        <v>108</v>
      </c>
      <c r="C12" s="17">
        <v>0</v>
      </c>
      <c r="D12" s="10">
        <f t="shared" si="0"/>
        <v>0</v>
      </c>
    </row>
    <row r="13" spans="1:4" x14ac:dyDescent="0.35">
      <c r="A13" s="8" t="s">
        <v>114</v>
      </c>
      <c r="B13" s="17">
        <v>483</v>
      </c>
      <c r="C13" s="17">
        <v>2</v>
      </c>
      <c r="D13" s="10">
        <f t="shared" si="0"/>
        <v>4.140786749482402E-3</v>
      </c>
    </row>
    <row r="14" spans="1:4" x14ac:dyDescent="0.35">
      <c r="A14" s="8" t="s">
        <v>115</v>
      </c>
      <c r="B14" s="17">
        <v>14</v>
      </c>
      <c r="C14" s="17">
        <v>0</v>
      </c>
      <c r="D14" s="10">
        <f t="shared" si="0"/>
        <v>0</v>
      </c>
    </row>
    <row r="15" spans="1:4" x14ac:dyDescent="0.35">
      <c r="A15" s="8" t="s">
        <v>116</v>
      </c>
      <c r="B15" s="17">
        <v>11726</v>
      </c>
      <c r="C15" s="17">
        <v>62</v>
      </c>
      <c r="D15" s="10">
        <f t="shared" si="0"/>
        <v>5.2873955312979703E-3</v>
      </c>
    </row>
    <row r="16" spans="1:4" x14ac:dyDescent="0.35">
      <c r="A16" s="8" t="s">
        <v>117</v>
      </c>
      <c r="B16" s="17">
        <v>9961</v>
      </c>
      <c r="C16" s="17">
        <v>49</v>
      </c>
      <c r="D16" s="10">
        <f t="shared" si="0"/>
        <v>4.9191848208011242E-3</v>
      </c>
    </row>
    <row r="17" spans="1:4" x14ac:dyDescent="0.35">
      <c r="A17" s="8" t="s">
        <v>118</v>
      </c>
      <c r="B17" s="17">
        <v>1878</v>
      </c>
      <c r="C17" s="17">
        <v>9</v>
      </c>
      <c r="D17" s="10">
        <f t="shared" si="0"/>
        <v>4.7923322683706068E-3</v>
      </c>
    </row>
    <row r="18" spans="1:4" x14ac:dyDescent="0.35">
      <c r="A18" s="8" t="s">
        <v>119</v>
      </c>
      <c r="B18" s="17">
        <v>72</v>
      </c>
      <c r="C18" s="17">
        <v>0</v>
      </c>
      <c r="D18" s="10">
        <f t="shared" si="0"/>
        <v>0</v>
      </c>
    </row>
    <row r="19" spans="1:4" x14ac:dyDescent="0.35">
      <c r="A19" s="4" t="s">
        <v>7</v>
      </c>
      <c r="B19" s="5">
        <f>SUM(B2:B18)</f>
        <v>100016</v>
      </c>
      <c r="C19" s="5">
        <f>SUM(C2:C18)</f>
        <v>491</v>
      </c>
      <c r="D19" s="6">
        <f>C19/B19</f>
        <v>4.909214525675892E-3</v>
      </c>
    </row>
  </sheetData>
  <conditionalFormatting sqref="B19">
    <cfRule type="duplicateValues" dxfId="9" priority="2"/>
  </conditionalFormatting>
  <conditionalFormatting sqref="C19">
    <cfRule type="duplicateValues" dxfId="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19" sqref="C19"/>
    </sheetView>
  </sheetViews>
  <sheetFormatPr defaultRowHeight="14.5" x14ac:dyDescent="0.35"/>
  <cols>
    <col min="1" max="1" width="11.7265625" customWidth="1"/>
    <col min="2" max="2" width="11.90625" customWidth="1"/>
    <col min="4" max="4" width="13.90625" bestFit="1" customWidth="1"/>
  </cols>
  <sheetData>
    <row r="1" spans="1:4" x14ac:dyDescent="0.35">
      <c r="A1" s="11" t="s">
        <v>13</v>
      </c>
      <c r="B1" s="1" t="s">
        <v>1</v>
      </c>
      <c r="C1" s="2" t="s">
        <v>2</v>
      </c>
      <c r="D1" s="2" t="s">
        <v>3</v>
      </c>
    </row>
    <row r="2" spans="1:4" x14ac:dyDescent="0.35">
      <c r="A2" s="8" t="s">
        <v>124</v>
      </c>
      <c r="B2" s="17">
        <v>34643</v>
      </c>
      <c r="C2" s="17">
        <v>167</v>
      </c>
      <c r="D2" s="10">
        <f>C2/B2</f>
        <v>4.8205986779435959E-3</v>
      </c>
    </row>
    <row r="3" spans="1:4" x14ac:dyDescent="0.35">
      <c r="A3" s="8" t="s">
        <v>125</v>
      </c>
      <c r="B3" s="17">
        <v>63399</v>
      </c>
      <c r="C3" s="17">
        <v>315</v>
      </c>
      <c r="D3" s="10">
        <f>C3/B3</f>
        <v>4.9685326266975822E-3</v>
      </c>
    </row>
    <row r="4" spans="1:4" x14ac:dyDescent="0.35">
      <c r="A4" s="8" t="s">
        <v>126</v>
      </c>
      <c r="B4" s="17">
        <v>1974</v>
      </c>
      <c r="C4" s="17">
        <v>9</v>
      </c>
      <c r="D4" s="10">
        <f>C4/B4</f>
        <v>4.559270516717325E-3</v>
      </c>
    </row>
    <row r="5" spans="1:4" x14ac:dyDescent="0.35">
      <c r="A5" s="4" t="s">
        <v>7</v>
      </c>
      <c r="B5" s="5">
        <f>SUM(B2:B4)</f>
        <v>100016</v>
      </c>
      <c r="C5" s="5">
        <f>SUM(C2:C4)</f>
        <v>491</v>
      </c>
      <c r="D5" s="6">
        <f t="shared" ref="D5" si="0">C5/B5</f>
        <v>4.909214525675892E-3</v>
      </c>
    </row>
  </sheetData>
  <conditionalFormatting sqref="A5">
    <cfRule type="duplicateValues" dxfId="7" priority="1"/>
  </conditionalFormatting>
  <conditionalFormatting sqref="A5">
    <cfRule type="duplicateValues" dxfId="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9" sqref="B19"/>
    </sheetView>
  </sheetViews>
  <sheetFormatPr defaultRowHeight="14.5" x14ac:dyDescent="0.35"/>
  <cols>
    <col min="1" max="1" width="30.08984375" bestFit="1" customWidth="1"/>
    <col min="2" max="2" width="11.54296875" customWidth="1"/>
    <col min="4" max="4" width="13.90625" bestFit="1" customWidth="1"/>
  </cols>
  <sheetData>
    <row r="1" spans="1:4" x14ac:dyDescent="0.35">
      <c r="A1" s="11" t="s">
        <v>11</v>
      </c>
      <c r="B1" s="1" t="s">
        <v>1</v>
      </c>
      <c r="C1" s="2" t="s">
        <v>2</v>
      </c>
      <c r="D1" s="2" t="s">
        <v>3</v>
      </c>
    </row>
    <row r="2" spans="1:4" x14ac:dyDescent="0.35">
      <c r="A2" s="8" t="s">
        <v>120</v>
      </c>
      <c r="B2" s="17">
        <v>7238</v>
      </c>
      <c r="C2" s="17">
        <v>34</v>
      </c>
      <c r="D2" s="14">
        <f>C2/B2</f>
        <v>4.6974302293451226E-3</v>
      </c>
    </row>
    <row r="3" spans="1:4" x14ac:dyDescent="0.35">
      <c r="A3" s="8" t="s">
        <v>121</v>
      </c>
      <c r="B3" s="17">
        <v>24357</v>
      </c>
      <c r="C3" s="17">
        <v>132</v>
      </c>
      <c r="D3" s="14">
        <f t="shared" ref="D3:D5" si="0">C3/B3</f>
        <v>5.4193866239684689E-3</v>
      </c>
    </row>
    <row r="4" spans="1:4" x14ac:dyDescent="0.35">
      <c r="A4" s="8" t="s">
        <v>122</v>
      </c>
      <c r="B4" s="17">
        <v>9469</v>
      </c>
      <c r="C4" s="17">
        <v>41</v>
      </c>
      <c r="D4" s="14">
        <f t="shared" si="0"/>
        <v>4.329918682014996E-3</v>
      </c>
    </row>
    <row r="5" spans="1:4" x14ac:dyDescent="0.35">
      <c r="A5" s="8" t="s">
        <v>123</v>
      </c>
      <c r="B5" s="17">
        <v>58952</v>
      </c>
      <c r="C5" s="17">
        <v>284</v>
      </c>
      <c r="D5" s="14">
        <f t="shared" si="0"/>
        <v>4.8174786266793326E-3</v>
      </c>
    </row>
    <row r="6" spans="1:4" x14ac:dyDescent="0.35">
      <c r="A6" s="4" t="s">
        <v>7</v>
      </c>
      <c r="B6" s="5">
        <f>SUM(B2:B5)</f>
        <v>100016</v>
      </c>
      <c r="C6" s="5">
        <f>SUM(C2:C5)</f>
        <v>491</v>
      </c>
      <c r="D6" s="6">
        <f>C6/B6</f>
        <v>4.909214525675892E-3</v>
      </c>
    </row>
  </sheetData>
  <conditionalFormatting sqref="A6">
    <cfRule type="duplicateValues" dxfId="5" priority="1"/>
  </conditionalFormatting>
  <conditionalFormatting sqref="A6">
    <cfRule type="duplicateValues" dxfId="4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6"/>
  <sheetViews>
    <sheetView workbookViewId="0">
      <selection activeCell="C155" sqref="C155"/>
    </sheetView>
  </sheetViews>
  <sheetFormatPr defaultRowHeight="14.5" x14ac:dyDescent="0.35"/>
  <cols>
    <col min="1" max="1" width="18.26953125" customWidth="1"/>
    <col min="2" max="2" width="15.1796875" customWidth="1"/>
    <col min="4" max="4" width="13.54296875" customWidth="1"/>
  </cols>
  <sheetData>
    <row r="1" spans="1:4" x14ac:dyDescent="0.35">
      <c r="A1" s="23" t="s">
        <v>12</v>
      </c>
      <c r="B1" s="24" t="s">
        <v>1</v>
      </c>
      <c r="C1" s="24" t="s">
        <v>2</v>
      </c>
      <c r="D1" s="24" t="s">
        <v>3</v>
      </c>
    </row>
    <row r="2" spans="1:4" x14ac:dyDescent="0.35">
      <c r="A2" s="8" t="s">
        <v>127</v>
      </c>
      <c r="B2" s="17">
        <v>599</v>
      </c>
      <c r="C2" s="17">
        <v>3</v>
      </c>
      <c r="D2" s="22">
        <f t="shared" ref="D2:D33" si="0">C2/B2</f>
        <v>5.008347245409015E-3</v>
      </c>
    </row>
    <row r="3" spans="1:4" x14ac:dyDescent="0.35">
      <c r="A3" s="8" t="s">
        <v>128</v>
      </c>
      <c r="B3" s="17">
        <v>4</v>
      </c>
      <c r="C3" s="17">
        <v>0</v>
      </c>
      <c r="D3" s="22">
        <f t="shared" si="0"/>
        <v>0</v>
      </c>
    </row>
    <row r="4" spans="1:4" x14ac:dyDescent="0.35">
      <c r="A4" s="8" t="s">
        <v>129</v>
      </c>
      <c r="B4" s="17">
        <v>235</v>
      </c>
      <c r="C4" s="17">
        <v>0</v>
      </c>
      <c r="D4" s="22">
        <f t="shared" si="0"/>
        <v>0</v>
      </c>
    </row>
    <row r="5" spans="1:4" x14ac:dyDescent="0.35">
      <c r="A5" s="8" t="s">
        <v>130</v>
      </c>
      <c r="B5" s="17">
        <v>10</v>
      </c>
      <c r="C5" s="17">
        <v>0</v>
      </c>
      <c r="D5" s="22">
        <f t="shared" si="0"/>
        <v>0</v>
      </c>
    </row>
    <row r="6" spans="1:4" x14ac:dyDescent="0.35">
      <c r="A6" s="8" t="s">
        <v>131</v>
      </c>
      <c r="B6" s="17">
        <v>37</v>
      </c>
      <c r="C6" s="17">
        <v>0</v>
      </c>
      <c r="D6" s="22">
        <f t="shared" si="0"/>
        <v>0</v>
      </c>
    </row>
    <row r="7" spans="1:4" x14ac:dyDescent="0.35">
      <c r="A7" s="8" t="s">
        <v>132</v>
      </c>
      <c r="B7" s="17">
        <v>53</v>
      </c>
      <c r="C7" s="17">
        <v>0</v>
      </c>
      <c r="D7" s="22">
        <f t="shared" si="0"/>
        <v>0</v>
      </c>
    </row>
    <row r="8" spans="1:4" x14ac:dyDescent="0.35">
      <c r="A8" s="8" t="s">
        <v>133</v>
      </c>
      <c r="B8" s="17">
        <v>4</v>
      </c>
      <c r="C8" s="17">
        <v>0</v>
      </c>
      <c r="D8" s="22">
        <f t="shared" si="0"/>
        <v>0</v>
      </c>
    </row>
    <row r="9" spans="1:4" x14ac:dyDescent="0.35">
      <c r="A9" s="8" t="s">
        <v>134</v>
      </c>
      <c r="B9" s="17">
        <v>436</v>
      </c>
      <c r="C9" s="17">
        <v>2</v>
      </c>
      <c r="D9" s="22">
        <f t="shared" si="0"/>
        <v>4.5871559633027525E-3</v>
      </c>
    </row>
    <row r="10" spans="1:4" x14ac:dyDescent="0.35">
      <c r="A10" s="8" t="s">
        <v>135</v>
      </c>
      <c r="B10" s="17">
        <v>219</v>
      </c>
      <c r="C10" s="17">
        <v>0</v>
      </c>
      <c r="D10" s="22">
        <f t="shared" si="0"/>
        <v>0</v>
      </c>
    </row>
    <row r="11" spans="1:4" x14ac:dyDescent="0.35">
      <c r="A11" s="8" t="s">
        <v>136</v>
      </c>
      <c r="B11" s="17">
        <v>8</v>
      </c>
      <c r="C11" s="17">
        <v>0</v>
      </c>
      <c r="D11" s="22">
        <f t="shared" si="0"/>
        <v>0</v>
      </c>
    </row>
    <row r="12" spans="1:4" x14ac:dyDescent="0.35">
      <c r="A12" s="8" t="s">
        <v>137</v>
      </c>
      <c r="B12" s="17">
        <v>11</v>
      </c>
      <c r="C12" s="17">
        <v>0</v>
      </c>
      <c r="D12" s="22">
        <f t="shared" si="0"/>
        <v>0</v>
      </c>
    </row>
    <row r="13" spans="1:4" x14ac:dyDescent="0.35">
      <c r="A13" s="8" t="s">
        <v>138</v>
      </c>
      <c r="B13" s="17">
        <v>2</v>
      </c>
      <c r="C13" s="17">
        <v>0</v>
      </c>
      <c r="D13" s="22">
        <f t="shared" si="0"/>
        <v>0</v>
      </c>
    </row>
    <row r="14" spans="1:4" x14ac:dyDescent="0.35">
      <c r="A14" s="8" t="s">
        <v>139</v>
      </c>
      <c r="B14" s="17">
        <v>3</v>
      </c>
      <c r="C14" s="17">
        <v>0</v>
      </c>
      <c r="D14" s="22">
        <f t="shared" si="0"/>
        <v>0</v>
      </c>
    </row>
    <row r="15" spans="1:4" x14ac:dyDescent="0.35">
      <c r="A15" s="8" t="s">
        <v>140</v>
      </c>
      <c r="B15" s="17">
        <v>1</v>
      </c>
      <c r="C15" s="17">
        <v>0</v>
      </c>
      <c r="D15" s="22">
        <f t="shared" si="0"/>
        <v>0</v>
      </c>
    </row>
    <row r="16" spans="1:4" x14ac:dyDescent="0.35">
      <c r="A16" s="8" t="s">
        <v>141</v>
      </c>
      <c r="B16" s="17">
        <v>33</v>
      </c>
      <c r="C16" s="17">
        <v>0</v>
      </c>
      <c r="D16" s="22">
        <f t="shared" si="0"/>
        <v>0</v>
      </c>
    </row>
    <row r="17" spans="1:4" x14ac:dyDescent="0.35">
      <c r="A17" s="8" t="s">
        <v>142</v>
      </c>
      <c r="B17" s="17">
        <v>276</v>
      </c>
      <c r="C17" s="17">
        <v>1</v>
      </c>
      <c r="D17" s="22">
        <f t="shared" si="0"/>
        <v>3.6231884057971015E-3</v>
      </c>
    </row>
    <row r="18" spans="1:4" x14ac:dyDescent="0.35">
      <c r="A18" s="8" t="s">
        <v>143</v>
      </c>
      <c r="B18" s="17">
        <v>2778</v>
      </c>
      <c r="C18" s="17">
        <v>13</v>
      </c>
      <c r="D18" s="22">
        <f t="shared" si="0"/>
        <v>4.6796256299496044E-3</v>
      </c>
    </row>
    <row r="19" spans="1:4" x14ac:dyDescent="0.35">
      <c r="A19" s="8" t="s">
        <v>144</v>
      </c>
      <c r="B19" s="17">
        <v>1</v>
      </c>
      <c r="C19" s="17">
        <v>0</v>
      </c>
      <c r="D19" s="22">
        <f t="shared" si="0"/>
        <v>0</v>
      </c>
    </row>
    <row r="20" spans="1:4" x14ac:dyDescent="0.35">
      <c r="A20" s="8" t="s">
        <v>145</v>
      </c>
      <c r="B20" s="17">
        <v>8</v>
      </c>
      <c r="C20" s="17">
        <v>0</v>
      </c>
      <c r="D20" s="22">
        <f t="shared" si="0"/>
        <v>0</v>
      </c>
    </row>
    <row r="21" spans="1:4" x14ac:dyDescent="0.35">
      <c r="A21" s="8" t="s">
        <v>146</v>
      </c>
      <c r="B21" s="17">
        <v>4</v>
      </c>
      <c r="C21" s="17">
        <v>0</v>
      </c>
      <c r="D21" s="22">
        <f t="shared" si="0"/>
        <v>0</v>
      </c>
    </row>
    <row r="22" spans="1:4" x14ac:dyDescent="0.35">
      <c r="A22" s="8" t="s">
        <v>147</v>
      </c>
      <c r="B22" s="17">
        <v>202</v>
      </c>
      <c r="C22" s="17">
        <v>0</v>
      </c>
      <c r="D22" s="22">
        <f t="shared" si="0"/>
        <v>0</v>
      </c>
    </row>
    <row r="23" spans="1:4" x14ac:dyDescent="0.35">
      <c r="A23" s="8" t="s">
        <v>148</v>
      </c>
      <c r="B23" s="17">
        <v>9</v>
      </c>
      <c r="C23" s="17">
        <v>0</v>
      </c>
      <c r="D23" s="22">
        <f t="shared" si="0"/>
        <v>0</v>
      </c>
    </row>
    <row r="24" spans="1:4" x14ac:dyDescent="0.35">
      <c r="A24" s="8" t="s">
        <v>149</v>
      </c>
      <c r="B24" s="17">
        <v>30</v>
      </c>
      <c r="C24" s="17">
        <v>0</v>
      </c>
      <c r="D24" s="22">
        <f t="shared" si="0"/>
        <v>0</v>
      </c>
    </row>
    <row r="25" spans="1:4" x14ac:dyDescent="0.35">
      <c r="A25" s="8" t="s">
        <v>150</v>
      </c>
      <c r="B25" s="17">
        <v>91</v>
      </c>
      <c r="C25" s="17">
        <v>0</v>
      </c>
      <c r="D25" s="22">
        <f t="shared" si="0"/>
        <v>0</v>
      </c>
    </row>
    <row r="26" spans="1:4" x14ac:dyDescent="0.35">
      <c r="A26" s="8" t="s">
        <v>151</v>
      </c>
      <c r="B26" s="17">
        <v>1223</v>
      </c>
      <c r="C26" s="17">
        <v>5</v>
      </c>
      <c r="D26" s="22">
        <f t="shared" si="0"/>
        <v>4.0883074407195418E-3</v>
      </c>
    </row>
    <row r="27" spans="1:4" x14ac:dyDescent="0.35">
      <c r="A27" s="8" t="s">
        <v>152</v>
      </c>
      <c r="B27" s="17">
        <v>8</v>
      </c>
      <c r="C27" s="17">
        <v>0</v>
      </c>
      <c r="D27" s="22">
        <f t="shared" si="0"/>
        <v>0</v>
      </c>
    </row>
    <row r="28" spans="1:4" x14ac:dyDescent="0.35">
      <c r="A28" s="8" t="s">
        <v>153</v>
      </c>
      <c r="B28" s="17">
        <v>11</v>
      </c>
      <c r="C28" s="17">
        <v>0</v>
      </c>
      <c r="D28" s="22">
        <f t="shared" si="0"/>
        <v>0</v>
      </c>
    </row>
    <row r="29" spans="1:4" x14ac:dyDescent="0.35">
      <c r="A29" s="8" t="s">
        <v>154</v>
      </c>
      <c r="B29" s="17">
        <v>34</v>
      </c>
      <c r="C29" s="17">
        <v>0</v>
      </c>
      <c r="D29" s="22">
        <f t="shared" si="0"/>
        <v>0</v>
      </c>
    </row>
    <row r="30" spans="1:4" x14ac:dyDescent="0.35">
      <c r="A30" s="8" t="s">
        <v>155</v>
      </c>
      <c r="B30" s="17">
        <v>4</v>
      </c>
      <c r="C30" s="17">
        <v>0</v>
      </c>
      <c r="D30" s="22">
        <f t="shared" si="0"/>
        <v>0</v>
      </c>
    </row>
    <row r="31" spans="1:4" x14ac:dyDescent="0.35">
      <c r="A31" s="8" t="s">
        <v>156</v>
      </c>
      <c r="B31" s="17">
        <v>346</v>
      </c>
      <c r="C31" s="17">
        <v>2</v>
      </c>
      <c r="D31" s="22">
        <f t="shared" si="0"/>
        <v>5.7803468208092483E-3</v>
      </c>
    </row>
    <row r="32" spans="1:4" x14ac:dyDescent="0.35">
      <c r="A32" s="8" t="s">
        <v>157</v>
      </c>
      <c r="B32" s="17">
        <v>207</v>
      </c>
      <c r="C32" s="17">
        <v>0</v>
      </c>
      <c r="D32" s="22">
        <f t="shared" si="0"/>
        <v>0</v>
      </c>
    </row>
    <row r="33" spans="1:4" x14ac:dyDescent="0.35">
      <c r="A33" s="8" t="s">
        <v>158</v>
      </c>
      <c r="B33" s="17">
        <v>4</v>
      </c>
      <c r="C33" s="17">
        <v>0</v>
      </c>
      <c r="D33" s="22">
        <f t="shared" si="0"/>
        <v>0</v>
      </c>
    </row>
    <row r="34" spans="1:4" x14ac:dyDescent="0.35">
      <c r="A34" s="8" t="s">
        <v>159</v>
      </c>
      <c r="B34" s="17">
        <v>4</v>
      </c>
      <c r="C34" s="17">
        <v>0</v>
      </c>
      <c r="D34" s="22">
        <f t="shared" ref="D34:D65" si="1">C34/B34</f>
        <v>0</v>
      </c>
    </row>
    <row r="35" spans="1:4" x14ac:dyDescent="0.35">
      <c r="A35" s="8" t="s">
        <v>160</v>
      </c>
      <c r="B35" s="17">
        <v>6</v>
      </c>
      <c r="C35" s="17">
        <v>0</v>
      </c>
      <c r="D35" s="22">
        <f t="shared" si="1"/>
        <v>0</v>
      </c>
    </row>
    <row r="36" spans="1:4" x14ac:dyDescent="0.35">
      <c r="A36" s="8" t="s">
        <v>161</v>
      </c>
      <c r="B36" s="17">
        <v>20</v>
      </c>
      <c r="C36" s="17">
        <v>0</v>
      </c>
      <c r="D36" s="22">
        <f t="shared" si="1"/>
        <v>0</v>
      </c>
    </row>
    <row r="37" spans="1:4" x14ac:dyDescent="0.35">
      <c r="A37" s="8" t="s">
        <v>162</v>
      </c>
      <c r="B37" s="17">
        <v>290</v>
      </c>
      <c r="C37" s="17">
        <v>1</v>
      </c>
      <c r="D37" s="22">
        <f t="shared" si="1"/>
        <v>3.4482758620689655E-3</v>
      </c>
    </row>
    <row r="38" spans="1:4" x14ac:dyDescent="0.35">
      <c r="A38" s="8" t="s">
        <v>163</v>
      </c>
      <c r="B38" s="17">
        <v>1</v>
      </c>
      <c r="C38" s="17">
        <v>0</v>
      </c>
      <c r="D38" s="22">
        <f t="shared" si="1"/>
        <v>0</v>
      </c>
    </row>
    <row r="39" spans="1:4" x14ac:dyDescent="0.35">
      <c r="A39" s="8" t="s">
        <v>164</v>
      </c>
      <c r="B39" s="17">
        <v>307</v>
      </c>
      <c r="C39" s="17">
        <v>0</v>
      </c>
      <c r="D39" s="22">
        <f t="shared" si="1"/>
        <v>0</v>
      </c>
    </row>
    <row r="40" spans="1:4" x14ac:dyDescent="0.35">
      <c r="A40" s="8" t="s">
        <v>165</v>
      </c>
      <c r="B40" s="17">
        <v>142</v>
      </c>
      <c r="C40" s="17">
        <v>0</v>
      </c>
      <c r="D40" s="22">
        <f t="shared" si="1"/>
        <v>0</v>
      </c>
    </row>
    <row r="41" spans="1:4" x14ac:dyDescent="0.35">
      <c r="A41" s="8" t="s">
        <v>166</v>
      </c>
      <c r="B41" s="17">
        <v>29</v>
      </c>
      <c r="C41" s="17">
        <v>0</v>
      </c>
      <c r="D41" s="22">
        <f t="shared" si="1"/>
        <v>0</v>
      </c>
    </row>
    <row r="42" spans="1:4" x14ac:dyDescent="0.35">
      <c r="A42" s="8" t="s">
        <v>167</v>
      </c>
      <c r="B42" s="17">
        <v>2</v>
      </c>
      <c r="C42" s="17">
        <v>0</v>
      </c>
      <c r="D42" s="22">
        <f t="shared" si="1"/>
        <v>0</v>
      </c>
    </row>
    <row r="43" spans="1:4" x14ac:dyDescent="0.35">
      <c r="A43" s="8" t="s">
        <v>168</v>
      </c>
      <c r="B43" s="17">
        <v>249</v>
      </c>
      <c r="C43" s="17">
        <v>1</v>
      </c>
      <c r="D43" s="22">
        <f t="shared" si="1"/>
        <v>4.0160642570281121E-3</v>
      </c>
    </row>
    <row r="44" spans="1:4" x14ac:dyDescent="0.35">
      <c r="A44" s="8" t="s">
        <v>169</v>
      </c>
      <c r="B44" s="17">
        <v>1</v>
      </c>
      <c r="C44" s="17">
        <v>0</v>
      </c>
      <c r="D44" s="22">
        <f t="shared" si="1"/>
        <v>0</v>
      </c>
    </row>
    <row r="45" spans="1:4" x14ac:dyDescent="0.35">
      <c r="A45" s="8" t="s">
        <v>170</v>
      </c>
      <c r="B45" s="17">
        <v>52</v>
      </c>
      <c r="C45" s="17">
        <v>0</v>
      </c>
      <c r="D45" s="22">
        <f t="shared" si="1"/>
        <v>0</v>
      </c>
    </row>
    <row r="46" spans="1:4" x14ac:dyDescent="0.35">
      <c r="A46" s="8" t="s">
        <v>171</v>
      </c>
      <c r="B46" s="17">
        <v>75</v>
      </c>
      <c r="C46" s="17">
        <v>0</v>
      </c>
      <c r="D46" s="22">
        <f t="shared" si="1"/>
        <v>0</v>
      </c>
    </row>
    <row r="47" spans="1:4" x14ac:dyDescent="0.35">
      <c r="A47" s="8" t="s">
        <v>172</v>
      </c>
      <c r="B47" s="17">
        <v>482</v>
      </c>
      <c r="C47" s="17">
        <v>3</v>
      </c>
      <c r="D47" s="22">
        <f t="shared" si="1"/>
        <v>6.2240663900414933E-3</v>
      </c>
    </row>
    <row r="48" spans="1:4" x14ac:dyDescent="0.35">
      <c r="A48" s="8" t="s">
        <v>173</v>
      </c>
      <c r="B48" s="17">
        <v>13</v>
      </c>
      <c r="C48" s="17">
        <v>0</v>
      </c>
      <c r="D48" s="22">
        <f t="shared" si="1"/>
        <v>0</v>
      </c>
    </row>
    <row r="49" spans="1:4" x14ac:dyDescent="0.35">
      <c r="A49" s="8" t="s">
        <v>174</v>
      </c>
      <c r="B49" s="17">
        <v>538</v>
      </c>
      <c r="C49" s="17">
        <v>3</v>
      </c>
      <c r="D49" s="22">
        <f t="shared" si="1"/>
        <v>5.5762081784386614E-3</v>
      </c>
    </row>
    <row r="50" spans="1:4" x14ac:dyDescent="0.35">
      <c r="A50" s="8" t="s">
        <v>175</v>
      </c>
      <c r="B50" s="17">
        <v>1</v>
      </c>
      <c r="C50" s="17">
        <v>0</v>
      </c>
      <c r="D50" s="22">
        <f t="shared" si="1"/>
        <v>0</v>
      </c>
    </row>
    <row r="51" spans="1:4" x14ac:dyDescent="0.35">
      <c r="A51" s="8" t="s">
        <v>176</v>
      </c>
      <c r="B51" s="17">
        <v>34</v>
      </c>
      <c r="C51" s="17">
        <v>0</v>
      </c>
      <c r="D51" s="22">
        <f t="shared" si="1"/>
        <v>0</v>
      </c>
    </row>
    <row r="52" spans="1:4" x14ac:dyDescent="0.35">
      <c r="A52" s="8" t="s">
        <v>177</v>
      </c>
      <c r="B52" s="17">
        <v>191</v>
      </c>
      <c r="C52" s="17">
        <v>0</v>
      </c>
      <c r="D52" s="22">
        <f t="shared" si="1"/>
        <v>0</v>
      </c>
    </row>
    <row r="53" spans="1:4" x14ac:dyDescent="0.35">
      <c r="A53" s="8" t="s">
        <v>178</v>
      </c>
      <c r="B53" s="17">
        <v>251</v>
      </c>
      <c r="C53" s="17">
        <v>1</v>
      </c>
      <c r="D53" s="22">
        <f t="shared" si="1"/>
        <v>3.9840637450199202E-3</v>
      </c>
    </row>
    <row r="54" spans="1:4" x14ac:dyDescent="0.35">
      <c r="A54" s="8" t="s">
        <v>179</v>
      </c>
      <c r="B54" s="17">
        <v>4</v>
      </c>
      <c r="C54" s="17">
        <v>0</v>
      </c>
      <c r="D54" s="22">
        <f t="shared" si="1"/>
        <v>0</v>
      </c>
    </row>
    <row r="55" spans="1:4" x14ac:dyDescent="0.35">
      <c r="A55" s="8" t="s">
        <v>180</v>
      </c>
      <c r="B55" s="17">
        <v>493</v>
      </c>
      <c r="C55" s="17">
        <v>2</v>
      </c>
      <c r="D55" s="22">
        <f t="shared" si="1"/>
        <v>4.0567951318458417E-3</v>
      </c>
    </row>
    <row r="56" spans="1:4" x14ac:dyDescent="0.35">
      <c r="A56" s="8" t="s">
        <v>181</v>
      </c>
      <c r="B56" s="17">
        <v>3</v>
      </c>
      <c r="C56" s="17">
        <v>0</v>
      </c>
      <c r="D56" s="22">
        <f t="shared" si="1"/>
        <v>0</v>
      </c>
    </row>
    <row r="57" spans="1:4" x14ac:dyDescent="0.35">
      <c r="A57" s="8" t="s">
        <v>182</v>
      </c>
      <c r="B57" s="17">
        <v>4</v>
      </c>
      <c r="C57" s="17">
        <v>0</v>
      </c>
      <c r="D57" s="22">
        <f t="shared" si="1"/>
        <v>0</v>
      </c>
    </row>
    <row r="58" spans="1:4" x14ac:dyDescent="0.35">
      <c r="A58" s="8" t="s">
        <v>183</v>
      </c>
      <c r="B58" s="17">
        <v>337</v>
      </c>
      <c r="C58" s="17">
        <v>2</v>
      </c>
      <c r="D58" s="22">
        <f t="shared" si="1"/>
        <v>5.9347181008902079E-3</v>
      </c>
    </row>
    <row r="59" spans="1:4" x14ac:dyDescent="0.35">
      <c r="A59" s="8" t="s">
        <v>184</v>
      </c>
      <c r="B59" s="17">
        <v>77</v>
      </c>
      <c r="C59" s="17">
        <v>0</v>
      </c>
      <c r="D59" s="22">
        <f t="shared" si="1"/>
        <v>0</v>
      </c>
    </row>
    <row r="60" spans="1:4" x14ac:dyDescent="0.35">
      <c r="A60" s="8" t="s">
        <v>185</v>
      </c>
      <c r="B60" s="17">
        <v>153</v>
      </c>
      <c r="C60" s="17">
        <v>0</v>
      </c>
      <c r="D60" s="22">
        <f t="shared" si="1"/>
        <v>0</v>
      </c>
    </row>
    <row r="61" spans="1:4" x14ac:dyDescent="0.35">
      <c r="A61" s="8" t="s">
        <v>186</v>
      </c>
      <c r="B61" s="17">
        <v>9</v>
      </c>
      <c r="C61" s="17">
        <v>0</v>
      </c>
      <c r="D61" s="22">
        <f t="shared" si="1"/>
        <v>0</v>
      </c>
    </row>
    <row r="62" spans="1:4" x14ac:dyDescent="0.35">
      <c r="A62" s="8" t="s">
        <v>187</v>
      </c>
      <c r="B62" s="17">
        <v>2</v>
      </c>
      <c r="C62" s="17">
        <v>0</v>
      </c>
      <c r="D62" s="22">
        <f t="shared" si="1"/>
        <v>0</v>
      </c>
    </row>
    <row r="63" spans="1:4" x14ac:dyDescent="0.35">
      <c r="A63" s="8" t="s">
        <v>188</v>
      </c>
      <c r="B63" s="17">
        <v>2</v>
      </c>
      <c r="C63" s="17">
        <v>0</v>
      </c>
      <c r="D63" s="22">
        <f t="shared" si="1"/>
        <v>0</v>
      </c>
    </row>
    <row r="64" spans="1:4" x14ac:dyDescent="0.35">
      <c r="A64" s="8" t="s">
        <v>189</v>
      </c>
      <c r="B64" s="17">
        <v>37</v>
      </c>
      <c r="C64" s="17">
        <v>0</v>
      </c>
      <c r="D64" s="22">
        <f t="shared" si="1"/>
        <v>0</v>
      </c>
    </row>
    <row r="65" spans="1:4" x14ac:dyDescent="0.35">
      <c r="A65" s="8" t="s">
        <v>190</v>
      </c>
      <c r="B65" s="17">
        <v>478</v>
      </c>
      <c r="C65" s="17">
        <v>2</v>
      </c>
      <c r="D65" s="22">
        <f t="shared" si="1"/>
        <v>4.1841004184100415E-3</v>
      </c>
    </row>
    <row r="66" spans="1:4" x14ac:dyDescent="0.35">
      <c r="A66" s="8" t="s">
        <v>191</v>
      </c>
      <c r="B66" s="17">
        <v>2</v>
      </c>
      <c r="C66" s="17">
        <v>0</v>
      </c>
      <c r="D66" s="22">
        <f t="shared" ref="D66:D97" si="2">C66/B66</f>
        <v>0</v>
      </c>
    </row>
    <row r="67" spans="1:4" x14ac:dyDescent="0.35">
      <c r="A67" s="8" t="s">
        <v>192</v>
      </c>
      <c r="B67" s="17">
        <v>1</v>
      </c>
      <c r="C67" s="17">
        <v>0</v>
      </c>
      <c r="D67" s="22">
        <f t="shared" si="2"/>
        <v>0</v>
      </c>
    </row>
    <row r="68" spans="1:4" x14ac:dyDescent="0.35">
      <c r="A68" s="8" t="s">
        <v>193</v>
      </c>
      <c r="B68" s="17">
        <v>314</v>
      </c>
      <c r="C68" s="17">
        <v>1</v>
      </c>
      <c r="D68" s="22">
        <f t="shared" si="2"/>
        <v>3.1847133757961785E-3</v>
      </c>
    </row>
    <row r="69" spans="1:4" x14ac:dyDescent="0.35">
      <c r="A69" s="8" t="s">
        <v>194</v>
      </c>
      <c r="B69" s="17">
        <v>77</v>
      </c>
      <c r="C69" s="17">
        <v>0</v>
      </c>
      <c r="D69" s="22">
        <f t="shared" si="2"/>
        <v>0</v>
      </c>
    </row>
    <row r="70" spans="1:4" x14ac:dyDescent="0.35">
      <c r="A70" s="8" t="s">
        <v>195</v>
      </c>
      <c r="B70" s="17">
        <v>6</v>
      </c>
      <c r="C70" s="17">
        <v>0</v>
      </c>
      <c r="D70" s="22">
        <f t="shared" si="2"/>
        <v>0</v>
      </c>
    </row>
    <row r="71" spans="1:4" x14ac:dyDescent="0.35">
      <c r="A71" s="8" t="s">
        <v>196</v>
      </c>
      <c r="B71" s="17">
        <v>2</v>
      </c>
      <c r="C71" s="17">
        <v>0</v>
      </c>
      <c r="D71" s="22">
        <f t="shared" si="2"/>
        <v>0</v>
      </c>
    </row>
    <row r="72" spans="1:4" x14ac:dyDescent="0.35">
      <c r="A72" s="8" t="s">
        <v>197</v>
      </c>
      <c r="B72" s="17">
        <v>24</v>
      </c>
      <c r="C72" s="17">
        <v>0</v>
      </c>
      <c r="D72" s="22">
        <f t="shared" si="2"/>
        <v>0</v>
      </c>
    </row>
    <row r="73" spans="1:4" x14ac:dyDescent="0.35">
      <c r="A73" s="8" t="s">
        <v>198</v>
      </c>
      <c r="B73" s="17">
        <v>44</v>
      </c>
      <c r="C73" s="17">
        <v>0</v>
      </c>
      <c r="D73" s="22">
        <f t="shared" si="2"/>
        <v>0</v>
      </c>
    </row>
    <row r="74" spans="1:4" x14ac:dyDescent="0.35">
      <c r="A74" s="8" t="s">
        <v>199</v>
      </c>
      <c r="B74" s="17">
        <v>2</v>
      </c>
      <c r="C74" s="17">
        <v>0</v>
      </c>
      <c r="D74" s="22">
        <f t="shared" si="2"/>
        <v>0</v>
      </c>
    </row>
    <row r="75" spans="1:4" x14ac:dyDescent="0.35">
      <c r="A75" s="8" t="s">
        <v>200</v>
      </c>
      <c r="B75" s="17">
        <v>13</v>
      </c>
      <c r="C75" s="17">
        <v>0</v>
      </c>
      <c r="D75" s="22">
        <f t="shared" si="2"/>
        <v>0</v>
      </c>
    </row>
    <row r="76" spans="1:4" x14ac:dyDescent="0.35">
      <c r="A76" s="8" t="s">
        <v>201</v>
      </c>
      <c r="B76" s="17">
        <v>41</v>
      </c>
      <c r="C76" s="17">
        <v>0</v>
      </c>
      <c r="D76" s="22">
        <f t="shared" si="2"/>
        <v>0</v>
      </c>
    </row>
    <row r="77" spans="1:4" x14ac:dyDescent="0.35">
      <c r="A77" s="8" t="s">
        <v>202</v>
      </c>
      <c r="B77" s="17">
        <v>8</v>
      </c>
      <c r="C77" s="17">
        <v>0</v>
      </c>
      <c r="D77" s="22">
        <f t="shared" si="2"/>
        <v>0</v>
      </c>
    </row>
    <row r="78" spans="1:4" x14ac:dyDescent="0.35">
      <c r="A78" s="8" t="s">
        <v>203</v>
      </c>
      <c r="B78" s="17">
        <v>195</v>
      </c>
      <c r="C78" s="17">
        <v>0</v>
      </c>
      <c r="D78" s="22">
        <f t="shared" si="2"/>
        <v>0</v>
      </c>
    </row>
    <row r="79" spans="1:4" x14ac:dyDescent="0.35">
      <c r="A79" s="8" t="s">
        <v>204</v>
      </c>
      <c r="B79" s="17">
        <v>277</v>
      </c>
      <c r="C79" s="17">
        <v>1</v>
      </c>
      <c r="D79" s="22">
        <f t="shared" si="2"/>
        <v>3.6101083032490976E-3</v>
      </c>
    </row>
    <row r="80" spans="1:4" x14ac:dyDescent="0.35">
      <c r="A80" s="8" t="s">
        <v>205</v>
      </c>
      <c r="B80" s="17">
        <v>4</v>
      </c>
      <c r="C80" s="17">
        <v>0</v>
      </c>
      <c r="D80" s="22">
        <f t="shared" si="2"/>
        <v>0</v>
      </c>
    </row>
    <row r="81" spans="1:4" x14ac:dyDescent="0.35">
      <c r="A81" s="8" t="s">
        <v>206</v>
      </c>
      <c r="B81" s="17">
        <v>8</v>
      </c>
      <c r="C81" s="17">
        <v>0</v>
      </c>
      <c r="D81" s="22">
        <f t="shared" si="2"/>
        <v>0</v>
      </c>
    </row>
    <row r="82" spans="1:4" x14ac:dyDescent="0.35">
      <c r="A82" s="8" t="s">
        <v>207</v>
      </c>
      <c r="B82" s="17">
        <v>15</v>
      </c>
      <c r="C82" s="17">
        <v>0</v>
      </c>
      <c r="D82" s="22">
        <f t="shared" si="2"/>
        <v>0</v>
      </c>
    </row>
    <row r="83" spans="1:4" x14ac:dyDescent="0.35">
      <c r="A83" s="8" t="s">
        <v>208</v>
      </c>
      <c r="B83" s="17">
        <v>100</v>
      </c>
      <c r="C83" s="17">
        <v>0</v>
      </c>
      <c r="D83" s="22">
        <f t="shared" si="2"/>
        <v>0</v>
      </c>
    </row>
    <row r="84" spans="1:4" x14ac:dyDescent="0.35">
      <c r="A84" s="8" t="s">
        <v>209</v>
      </c>
      <c r="B84" s="17">
        <v>288</v>
      </c>
      <c r="C84" s="17">
        <v>0</v>
      </c>
      <c r="D84" s="22">
        <f t="shared" si="2"/>
        <v>0</v>
      </c>
    </row>
    <row r="85" spans="1:4" x14ac:dyDescent="0.35">
      <c r="A85" s="8" t="s">
        <v>210</v>
      </c>
      <c r="B85" s="17">
        <v>21</v>
      </c>
      <c r="C85" s="17">
        <v>0</v>
      </c>
      <c r="D85" s="22">
        <f t="shared" si="2"/>
        <v>0</v>
      </c>
    </row>
    <row r="86" spans="1:4" x14ac:dyDescent="0.35">
      <c r="A86" s="8" t="s">
        <v>211</v>
      </c>
      <c r="B86" s="17">
        <v>103</v>
      </c>
      <c r="C86" s="17">
        <v>0</v>
      </c>
      <c r="D86" s="22">
        <f t="shared" si="2"/>
        <v>0</v>
      </c>
    </row>
    <row r="87" spans="1:4" x14ac:dyDescent="0.35">
      <c r="A87" s="8" t="s">
        <v>212</v>
      </c>
      <c r="B87" s="17">
        <v>24</v>
      </c>
      <c r="C87" s="17">
        <v>0</v>
      </c>
      <c r="D87" s="22">
        <f t="shared" si="2"/>
        <v>0</v>
      </c>
    </row>
    <row r="88" spans="1:4" x14ac:dyDescent="0.35">
      <c r="A88" s="8" t="s">
        <v>213</v>
      </c>
      <c r="B88" s="17">
        <v>18</v>
      </c>
      <c r="C88" s="17">
        <v>0</v>
      </c>
      <c r="D88" s="22">
        <f t="shared" si="2"/>
        <v>0</v>
      </c>
    </row>
    <row r="89" spans="1:4" x14ac:dyDescent="0.35">
      <c r="A89" s="8" t="s">
        <v>214</v>
      </c>
      <c r="B89" s="17">
        <v>25</v>
      </c>
      <c r="C89" s="17">
        <v>0</v>
      </c>
      <c r="D89" s="22">
        <f t="shared" si="2"/>
        <v>0</v>
      </c>
    </row>
    <row r="90" spans="1:4" x14ac:dyDescent="0.35">
      <c r="A90" s="8" t="s">
        <v>215</v>
      </c>
      <c r="B90" s="17">
        <v>602</v>
      </c>
      <c r="C90" s="17">
        <v>3</v>
      </c>
      <c r="D90" s="22">
        <f t="shared" si="2"/>
        <v>4.9833887043189366E-3</v>
      </c>
    </row>
    <row r="91" spans="1:4" x14ac:dyDescent="0.35">
      <c r="A91" s="8" t="s">
        <v>216</v>
      </c>
      <c r="B91" s="17">
        <v>59</v>
      </c>
      <c r="C91" s="17">
        <v>0</v>
      </c>
      <c r="D91" s="22">
        <f t="shared" si="2"/>
        <v>0</v>
      </c>
    </row>
    <row r="92" spans="1:4" x14ac:dyDescent="0.35">
      <c r="A92" s="8" t="s">
        <v>217</v>
      </c>
      <c r="B92" s="17">
        <v>421</v>
      </c>
      <c r="C92" s="17">
        <v>2</v>
      </c>
      <c r="D92" s="22">
        <f t="shared" si="2"/>
        <v>4.7505938242280287E-3</v>
      </c>
    </row>
    <row r="93" spans="1:4" x14ac:dyDescent="0.35">
      <c r="A93" s="8" t="s">
        <v>218</v>
      </c>
      <c r="B93" s="17">
        <v>1</v>
      </c>
      <c r="C93" s="17">
        <v>0</v>
      </c>
      <c r="D93" s="22">
        <f t="shared" si="2"/>
        <v>0</v>
      </c>
    </row>
    <row r="94" spans="1:4" x14ac:dyDescent="0.35">
      <c r="A94" s="8" t="s">
        <v>219</v>
      </c>
      <c r="B94" s="17">
        <v>4</v>
      </c>
      <c r="C94" s="17">
        <v>0</v>
      </c>
      <c r="D94" s="22">
        <f t="shared" si="2"/>
        <v>0</v>
      </c>
    </row>
    <row r="95" spans="1:4" x14ac:dyDescent="0.35">
      <c r="A95" s="8" t="s">
        <v>220</v>
      </c>
      <c r="B95" s="17">
        <v>9</v>
      </c>
      <c r="C95" s="17">
        <v>0</v>
      </c>
      <c r="D95" s="22">
        <f t="shared" si="2"/>
        <v>0</v>
      </c>
    </row>
    <row r="96" spans="1:4" x14ac:dyDescent="0.35">
      <c r="A96" s="8" t="s">
        <v>221</v>
      </c>
      <c r="B96" s="17">
        <v>8</v>
      </c>
      <c r="C96" s="17">
        <v>0</v>
      </c>
      <c r="D96" s="22">
        <f t="shared" si="2"/>
        <v>0</v>
      </c>
    </row>
    <row r="97" spans="1:4" x14ac:dyDescent="0.35">
      <c r="A97" s="8" t="s">
        <v>222</v>
      </c>
      <c r="B97" s="17">
        <v>2</v>
      </c>
      <c r="C97" s="17">
        <v>0</v>
      </c>
      <c r="D97" s="22">
        <f t="shared" si="2"/>
        <v>0</v>
      </c>
    </row>
    <row r="98" spans="1:4" x14ac:dyDescent="0.35">
      <c r="A98" s="8" t="s">
        <v>223</v>
      </c>
      <c r="B98" s="17">
        <v>31</v>
      </c>
      <c r="C98" s="17">
        <v>0</v>
      </c>
      <c r="D98" s="22">
        <f t="shared" ref="D98:D129" si="3">C98/B98</f>
        <v>0</v>
      </c>
    </row>
    <row r="99" spans="1:4" x14ac:dyDescent="0.35">
      <c r="A99" s="8" t="s">
        <v>224</v>
      </c>
      <c r="B99" s="17">
        <v>1235</v>
      </c>
      <c r="C99" s="17">
        <v>6</v>
      </c>
      <c r="D99" s="22">
        <f t="shared" si="3"/>
        <v>4.8582995951417006E-3</v>
      </c>
    </row>
    <row r="100" spans="1:4" x14ac:dyDescent="0.35">
      <c r="A100" s="8" t="s">
        <v>225</v>
      </c>
      <c r="B100" s="17">
        <v>7</v>
      </c>
      <c r="C100" s="17">
        <v>0</v>
      </c>
      <c r="D100" s="22">
        <f t="shared" si="3"/>
        <v>0</v>
      </c>
    </row>
    <row r="101" spans="1:4" x14ac:dyDescent="0.35">
      <c r="A101" s="8" t="s">
        <v>226</v>
      </c>
      <c r="B101" s="17">
        <v>1</v>
      </c>
      <c r="C101" s="17">
        <v>0</v>
      </c>
      <c r="D101" s="22">
        <f t="shared" si="3"/>
        <v>0</v>
      </c>
    </row>
    <row r="102" spans="1:4" x14ac:dyDescent="0.35">
      <c r="A102" s="8" t="s">
        <v>227</v>
      </c>
      <c r="B102" s="17">
        <v>29</v>
      </c>
      <c r="C102" s="17">
        <v>0</v>
      </c>
      <c r="D102" s="22">
        <f t="shared" si="3"/>
        <v>0</v>
      </c>
    </row>
    <row r="103" spans="1:4" x14ac:dyDescent="0.35">
      <c r="A103" s="8" t="s">
        <v>228</v>
      </c>
      <c r="B103" s="17">
        <v>327</v>
      </c>
      <c r="C103" s="17">
        <v>2</v>
      </c>
      <c r="D103" s="22">
        <f t="shared" si="3"/>
        <v>6.1162079510703364E-3</v>
      </c>
    </row>
    <row r="104" spans="1:4" x14ac:dyDescent="0.35">
      <c r="A104" s="8" t="s">
        <v>229</v>
      </c>
      <c r="B104" s="17">
        <v>361</v>
      </c>
      <c r="C104" s="17">
        <v>1</v>
      </c>
      <c r="D104" s="22">
        <f t="shared" si="3"/>
        <v>2.7700831024930748E-3</v>
      </c>
    </row>
    <row r="105" spans="1:4" x14ac:dyDescent="0.35">
      <c r="A105" s="8" t="s">
        <v>230</v>
      </c>
      <c r="B105" s="17">
        <v>30</v>
      </c>
      <c r="C105" s="17">
        <v>0</v>
      </c>
      <c r="D105" s="22">
        <f t="shared" si="3"/>
        <v>0</v>
      </c>
    </row>
    <row r="106" spans="1:4" x14ac:dyDescent="0.35">
      <c r="A106" s="8" t="s">
        <v>231</v>
      </c>
      <c r="B106" s="17">
        <v>567</v>
      </c>
      <c r="C106" s="17">
        <v>3</v>
      </c>
      <c r="D106" s="22">
        <f t="shared" si="3"/>
        <v>5.2910052910052907E-3</v>
      </c>
    </row>
    <row r="107" spans="1:4" x14ac:dyDescent="0.35">
      <c r="A107" s="8" t="s">
        <v>232</v>
      </c>
      <c r="B107" s="17">
        <v>27</v>
      </c>
      <c r="C107" s="17">
        <v>0</v>
      </c>
      <c r="D107" s="22">
        <f t="shared" si="3"/>
        <v>0</v>
      </c>
    </row>
    <row r="108" spans="1:4" x14ac:dyDescent="0.35">
      <c r="A108" s="8" t="s">
        <v>233</v>
      </c>
      <c r="B108" s="17">
        <v>11</v>
      </c>
      <c r="C108" s="17">
        <v>0</v>
      </c>
      <c r="D108" s="22">
        <f t="shared" si="3"/>
        <v>0</v>
      </c>
    </row>
    <row r="109" spans="1:4" x14ac:dyDescent="0.35">
      <c r="A109" s="8" t="s">
        <v>234</v>
      </c>
      <c r="B109" s="17">
        <v>419</v>
      </c>
      <c r="C109" s="17">
        <v>2</v>
      </c>
      <c r="D109" s="22">
        <f t="shared" si="3"/>
        <v>4.7732696897374704E-3</v>
      </c>
    </row>
    <row r="110" spans="1:4" x14ac:dyDescent="0.35">
      <c r="A110" s="8" t="s">
        <v>235</v>
      </c>
      <c r="B110" s="17">
        <v>32</v>
      </c>
      <c r="C110" s="17">
        <v>0</v>
      </c>
      <c r="D110" s="22">
        <f t="shared" si="3"/>
        <v>0</v>
      </c>
    </row>
    <row r="111" spans="1:4" x14ac:dyDescent="0.35">
      <c r="A111" s="8" t="s">
        <v>236</v>
      </c>
      <c r="B111" s="17">
        <v>62</v>
      </c>
      <c r="C111" s="17">
        <v>0</v>
      </c>
      <c r="D111" s="22">
        <f t="shared" si="3"/>
        <v>0</v>
      </c>
    </row>
    <row r="112" spans="1:4" x14ac:dyDescent="0.35">
      <c r="A112" s="8" t="s">
        <v>237</v>
      </c>
      <c r="B112" s="17">
        <v>52</v>
      </c>
      <c r="C112" s="17">
        <v>0</v>
      </c>
      <c r="D112" s="22">
        <f t="shared" si="3"/>
        <v>0</v>
      </c>
    </row>
    <row r="113" spans="1:4" x14ac:dyDescent="0.35">
      <c r="A113" s="8" t="s">
        <v>238</v>
      </c>
      <c r="B113" s="17">
        <v>55</v>
      </c>
      <c r="C113" s="17">
        <v>0</v>
      </c>
      <c r="D113" s="22">
        <f t="shared" si="3"/>
        <v>0</v>
      </c>
    </row>
    <row r="114" spans="1:4" x14ac:dyDescent="0.35">
      <c r="A114" s="8" t="s">
        <v>239</v>
      </c>
      <c r="B114" s="17">
        <v>272</v>
      </c>
      <c r="C114" s="17">
        <v>0</v>
      </c>
      <c r="D114" s="22">
        <f t="shared" si="3"/>
        <v>0</v>
      </c>
    </row>
    <row r="115" spans="1:4" x14ac:dyDescent="0.35">
      <c r="A115" s="8" t="s">
        <v>240</v>
      </c>
      <c r="B115" s="17">
        <v>4</v>
      </c>
      <c r="C115" s="17">
        <v>0</v>
      </c>
      <c r="D115" s="22">
        <f t="shared" si="3"/>
        <v>0</v>
      </c>
    </row>
    <row r="116" spans="1:4" x14ac:dyDescent="0.35">
      <c r="A116" s="8" t="s">
        <v>241</v>
      </c>
      <c r="B116" s="17">
        <v>10</v>
      </c>
      <c r="C116" s="17">
        <v>0</v>
      </c>
      <c r="D116" s="22">
        <f t="shared" si="3"/>
        <v>0</v>
      </c>
    </row>
    <row r="117" spans="1:4" x14ac:dyDescent="0.35">
      <c r="A117" s="8" t="s">
        <v>242</v>
      </c>
      <c r="B117" s="17">
        <v>3</v>
      </c>
      <c r="C117" s="17">
        <v>0</v>
      </c>
      <c r="D117" s="22">
        <f t="shared" si="3"/>
        <v>0</v>
      </c>
    </row>
    <row r="118" spans="1:4" x14ac:dyDescent="0.35">
      <c r="A118" s="8" t="s">
        <v>243</v>
      </c>
      <c r="B118" s="17">
        <v>14</v>
      </c>
      <c r="C118" s="17">
        <v>0</v>
      </c>
      <c r="D118" s="22">
        <f t="shared" si="3"/>
        <v>0</v>
      </c>
    </row>
    <row r="119" spans="1:4" x14ac:dyDescent="0.35">
      <c r="A119" s="8" t="s">
        <v>244</v>
      </c>
      <c r="B119" s="17">
        <v>13</v>
      </c>
      <c r="C119" s="17">
        <v>0</v>
      </c>
      <c r="D119" s="22">
        <f t="shared" si="3"/>
        <v>0</v>
      </c>
    </row>
    <row r="120" spans="1:4" x14ac:dyDescent="0.35">
      <c r="A120" s="8" t="s">
        <v>245</v>
      </c>
      <c r="B120" s="17">
        <v>36</v>
      </c>
      <c r="C120" s="17">
        <v>0</v>
      </c>
      <c r="D120" s="22">
        <f t="shared" si="3"/>
        <v>0</v>
      </c>
    </row>
    <row r="121" spans="1:4" x14ac:dyDescent="0.35">
      <c r="A121" s="8" t="s">
        <v>246</v>
      </c>
      <c r="B121" s="17">
        <v>10</v>
      </c>
      <c r="C121" s="17">
        <v>0</v>
      </c>
      <c r="D121" s="22">
        <f t="shared" si="3"/>
        <v>0</v>
      </c>
    </row>
    <row r="122" spans="1:4" x14ac:dyDescent="0.35">
      <c r="A122" s="8" t="s">
        <v>247</v>
      </c>
      <c r="B122" s="17">
        <v>79977</v>
      </c>
      <c r="C122" s="17">
        <v>422</v>
      </c>
      <c r="D122" s="22">
        <f t="shared" si="3"/>
        <v>5.2765169986371081E-3</v>
      </c>
    </row>
    <row r="123" spans="1:4" x14ac:dyDescent="0.35">
      <c r="A123" s="8" t="s">
        <v>248</v>
      </c>
      <c r="B123" s="17">
        <v>256</v>
      </c>
      <c r="C123" s="17">
        <v>1</v>
      </c>
      <c r="D123" s="22">
        <f t="shared" si="3"/>
        <v>3.90625E-3</v>
      </c>
    </row>
    <row r="124" spans="1:4" x14ac:dyDescent="0.35">
      <c r="A124" s="8" t="s">
        <v>249</v>
      </c>
      <c r="B124" s="17">
        <v>197</v>
      </c>
      <c r="C124" s="17">
        <v>0</v>
      </c>
      <c r="D124" s="22">
        <f t="shared" si="3"/>
        <v>0</v>
      </c>
    </row>
    <row r="125" spans="1:4" x14ac:dyDescent="0.35">
      <c r="A125" s="8" t="s">
        <v>250</v>
      </c>
      <c r="B125" s="17">
        <v>37</v>
      </c>
      <c r="C125" s="17">
        <v>0</v>
      </c>
      <c r="D125" s="22">
        <f t="shared" si="3"/>
        <v>0</v>
      </c>
    </row>
    <row r="126" spans="1:4" x14ac:dyDescent="0.35">
      <c r="A126" s="8" t="s">
        <v>251</v>
      </c>
      <c r="B126" s="17">
        <v>11</v>
      </c>
      <c r="C126" s="17">
        <v>0</v>
      </c>
      <c r="D126" s="22">
        <f t="shared" si="3"/>
        <v>0</v>
      </c>
    </row>
    <row r="127" spans="1:4" x14ac:dyDescent="0.35">
      <c r="A127" s="8" t="s">
        <v>252</v>
      </c>
      <c r="B127" s="17">
        <v>117</v>
      </c>
      <c r="C127" s="17">
        <v>0</v>
      </c>
      <c r="D127" s="22">
        <f t="shared" si="3"/>
        <v>0</v>
      </c>
    </row>
    <row r="128" spans="1:4" x14ac:dyDescent="0.35">
      <c r="A128" s="8" t="s">
        <v>253</v>
      </c>
      <c r="B128" s="17">
        <v>5</v>
      </c>
      <c r="C128" s="17">
        <v>0</v>
      </c>
      <c r="D128" s="22">
        <f t="shared" si="3"/>
        <v>0</v>
      </c>
    </row>
    <row r="129" spans="1:4" x14ac:dyDescent="0.35">
      <c r="A129" s="8" t="s">
        <v>254</v>
      </c>
      <c r="B129" s="17">
        <v>10</v>
      </c>
      <c r="C129" s="17">
        <v>0</v>
      </c>
      <c r="D129" s="22">
        <f t="shared" si="3"/>
        <v>0</v>
      </c>
    </row>
    <row r="130" spans="1:4" x14ac:dyDescent="0.35">
      <c r="A130" s="8" t="s">
        <v>255</v>
      </c>
      <c r="B130" s="17">
        <v>104</v>
      </c>
      <c r="C130" s="17">
        <v>0</v>
      </c>
      <c r="D130" s="22">
        <f t="shared" ref="D130:D146" si="4">C130/B130</f>
        <v>0</v>
      </c>
    </row>
    <row r="131" spans="1:4" x14ac:dyDescent="0.35">
      <c r="A131" s="8" t="s">
        <v>256</v>
      </c>
      <c r="B131" s="17">
        <v>11</v>
      </c>
      <c r="C131" s="17">
        <v>0</v>
      </c>
      <c r="D131" s="22">
        <f t="shared" si="4"/>
        <v>0</v>
      </c>
    </row>
    <row r="132" spans="1:4" x14ac:dyDescent="0.35">
      <c r="A132" s="8" t="s">
        <v>257</v>
      </c>
      <c r="B132" s="17">
        <v>22</v>
      </c>
      <c r="C132" s="17">
        <v>0</v>
      </c>
      <c r="D132" s="22">
        <f t="shared" si="4"/>
        <v>0</v>
      </c>
    </row>
    <row r="133" spans="1:4" x14ac:dyDescent="0.35">
      <c r="A133" s="8" t="s">
        <v>258</v>
      </c>
      <c r="B133" s="17">
        <v>6</v>
      </c>
      <c r="C133" s="17">
        <v>0</v>
      </c>
      <c r="D133" s="22">
        <f t="shared" si="4"/>
        <v>0</v>
      </c>
    </row>
    <row r="134" spans="1:4" x14ac:dyDescent="0.35">
      <c r="A134" s="8" t="s">
        <v>259</v>
      </c>
      <c r="B134" s="17">
        <v>26</v>
      </c>
      <c r="C134" s="17">
        <v>0</v>
      </c>
      <c r="D134" s="22">
        <f t="shared" si="4"/>
        <v>0</v>
      </c>
    </row>
    <row r="135" spans="1:4" x14ac:dyDescent="0.35">
      <c r="A135" s="8" t="s">
        <v>260</v>
      </c>
      <c r="B135" s="17">
        <v>321</v>
      </c>
      <c r="C135" s="17">
        <v>1</v>
      </c>
      <c r="D135" s="22">
        <f t="shared" si="4"/>
        <v>3.1152647975077881E-3</v>
      </c>
    </row>
    <row r="136" spans="1:4" x14ac:dyDescent="0.35">
      <c r="A136" s="8" t="s">
        <v>261</v>
      </c>
      <c r="B136" s="17">
        <v>32</v>
      </c>
      <c r="C136" s="17">
        <v>0</v>
      </c>
      <c r="D136" s="22">
        <f t="shared" si="4"/>
        <v>0</v>
      </c>
    </row>
    <row r="137" spans="1:4" x14ac:dyDescent="0.35">
      <c r="A137" s="8" t="s">
        <v>262</v>
      </c>
      <c r="B137" s="17">
        <v>17</v>
      </c>
      <c r="C137" s="17">
        <v>0</v>
      </c>
      <c r="D137" s="22">
        <f t="shared" si="4"/>
        <v>0</v>
      </c>
    </row>
    <row r="138" spans="1:4" x14ac:dyDescent="0.35">
      <c r="A138" s="8" t="s">
        <v>263</v>
      </c>
      <c r="B138" s="17">
        <v>25</v>
      </c>
      <c r="C138" s="17">
        <v>0</v>
      </c>
      <c r="D138" s="22">
        <f t="shared" si="4"/>
        <v>0</v>
      </c>
    </row>
    <row r="139" spans="1:4" x14ac:dyDescent="0.35">
      <c r="A139" s="8" t="s">
        <v>264</v>
      </c>
      <c r="B139" s="17">
        <v>14</v>
      </c>
      <c r="C139" s="17">
        <v>0</v>
      </c>
      <c r="D139" s="22">
        <f t="shared" si="4"/>
        <v>0</v>
      </c>
    </row>
    <row r="140" spans="1:4" x14ac:dyDescent="0.35">
      <c r="A140" s="8" t="s">
        <v>265</v>
      </c>
      <c r="B140" s="17">
        <v>2</v>
      </c>
      <c r="C140" s="17">
        <v>0</v>
      </c>
      <c r="D140" s="22">
        <f t="shared" si="4"/>
        <v>0</v>
      </c>
    </row>
    <row r="141" spans="1:4" x14ac:dyDescent="0.35">
      <c r="A141" s="8" t="s">
        <v>266</v>
      </c>
      <c r="B141" s="17">
        <v>712</v>
      </c>
      <c r="C141" s="17">
        <v>3</v>
      </c>
      <c r="D141" s="22">
        <f t="shared" si="4"/>
        <v>4.2134831460674156E-3</v>
      </c>
    </row>
    <row r="142" spans="1:4" x14ac:dyDescent="0.35">
      <c r="A142" s="8" t="s">
        <v>267</v>
      </c>
      <c r="B142" s="17">
        <v>60</v>
      </c>
      <c r="C142" s="17">
        <v>0</v>
      </c>
      <c r="D142" s="22">
        <f t="shared" si="4"/>
        <v>0</v>
      </c>
    </row>
    <row r="143" spans="1:4" x14ac:dyDescent="0.35">
      <c r="A143" s="8" t="s">
        <v>268</v>
      </c>
      <c r="B143" s="17">
        <v>3</v>
      </c>
      <c r="C143" s="17">
        <v>0</v>
      </c>
      <c r="D143" s="22">
        <f t="shared" si="4"/>
        <v>0</v>
      </c>
    </row>
    <row r="144" spans="1:4" x14ac:dyDescent="0.35">
      <c r="A144" s="8" t="s">
        <v>269</v>
      </c>
      <c r="B144" s="17">
        <v>1</v>
      </c>
      <c r="C144" s="17">
        <v>0</v>
      </c>
      <c r="D144" s="22">
        <f t="shared" si="4"/>
        <v>0</v>
      </c>
    </row>
    <row r="145" spans="1:4" x14ac:dyDescent="0.35">
      <c r="A145" s="8" t="s">
        <v>270</v>
      </c>
      <c r="B145" s="17">
        <v>546</v>
      </c>
      <c r="C145" s="17">
        <v>2</v>
      </c>
      <c r="D145" s="22">
        <f t="shared" si="4"/>
        <v>3.663003663003663E-3</v>
      </c>
    </row>
    <row r="146" spans="1:4" x14ac:dyDescent="0.35">
      <c r="A146" s="4" t="s">
        <v>7</v>
      </c>
      <c r="B146" s="5">
        <f>SUM(B2:B145)</f>
        <v>100016</v>
      </c>
      <c r="C146" s="5">
        <f>SUM(C2:C145)</f>
        <v>491</v>
      </c>
      <c r="D146" s="6">
        <f t="shared" si="4"/>
        <v>4.909214525675892E-3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25" sqref="C25"/>
    </sheetView>
  </sheetViews>
  <sheetFormatPr defaultRowHeight="14.5" x14ac:dyDescent="0.35"/>
  <cols>
    <col min="1" max="1" width="10.7265625" bestFit="1" customWidth="1"/>
    <col min="2" max="2" width="10.90625" bestFit="1" customWidth="1"/>
    <col min="3" max="3" width="5.453125" bestFit="1" customWidth="1"/>
    <col min="4" max="4" width="13.90625" bestFit="1" customWidth="1"/>
  </cols>
  <sheetData>
    <row r="1" spans="1:4" x14ac:dyDescent="0.35">
      <c r="A1" s="11" t="s">
        <v>14</v>
      </c>
      <c r="B1" s="1" t="s">
        <v>1</v>
      </c>
      <c r="C1" s="2" t="s">
        <v>2</v>
      </c>
      <c r="D1" s="2" t="s">
        <v>3</v>
      </c>
    </row>
    <row r="2" spans="1:4" x14ac:dyDescent="0.35">
      <c r="A2" s="9" t="s">
        <v>15</v>
      </c>
      <c r="B2" s="9">
        <v>24333</v>
      </c>
      <c r="C2" s="9">
        <v>114</v>
      </c>
      <c r="D2" s="14">
        <f>C2/B2</f>
        <v>4.6849956848723957E-3</v>
      </c>
    </row>
    <row r="3" spans="1:4" x14ac:dyDescent="0.35">
      <c r="A3" s="9" t="s">
        <v>16</v>
      </c>
      <c r="B3" s="9">
        <v>34265</v>
      </c>
      <c r="C3" s="9">
        <v>187</v>
      </c>
      <c r="D3" s="14">
        <f t="shared" ref="D3:D5" si="0">C3/B3</f>
        <v>5.4574638844301767E-3</v>
      </c>
    </row>
    <row r="4" spans="1:4" x14ac:dyDescent="0.35">
      <c r="A4" s="9" t="s">
        <v>17</v>
      </c>
      <c r="B4" s="9">
        <v>30176</v>
      </c>
      <c r="C4" s="9">
        <v>132</v>
      </c>
      <c r="D4" s="14">
        <f t="shared" si="0"/>
        <v>4.3743372216330859E-3</v>
      </c>
    </row>
    <row r="5" spans="1:4" x14ac:dyDescent="0.35">
      <c r="A5" s="9" t="s">
        <v>18</v>
      </c>
      <c r="B5" s="9">
        <v>11242</v>
      </c>
      <c r="C5" s="9">
        <v>58</v>
      </c>
      <c r="D5" s="14">
        <f t="shared" si="0"/>
        <v>5.1592243373065295E-3</v>
      </c>
    </row>
    <row r="6" spans="1:4" x14ac:dyDescent="0.35">
      <c r="A6" s="4" t="s">
        <v>7</v>
      </c>
      <c r="B6" s="5">
        <f>SUM(B2:B5)</f>
        <v>100016</v>
      </c>
      <c r="C6" s="5">
        <f>SUM(C2:C5)</f>
        <v>491</v>
      </c>
      <c r="D6" s="6">
        <f>C6/B6</f>
        <v>4.909214525675892E-3</v>
      </c>
    </row>
  </sheetData>
  <conditionalFormatting sqref="A6">
    <cfRule type="duplicateValues" dxfId="3" priority="1"/>
  </conditionalFormatting>
  <conditionalFormatting sqref="A6">
    <cfRule type="duplicateValues" dxfId="2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16" sqref="B16"/>
    </sheetView>
  </sheetViews>
  <sheetFormatPr defaultRowHeight="14.5" x14ac:dyDescent="0.35"/>
  <cols>
    <col min="1" max="1" width="10.7265625" bestFit="1" customWidth="1"/>
    <col min="2" max="2" width="10.90625" bestFit="1" customWidth="1"/>
    <col min="4" max="4" width="13.90625" bestFit="1" customWidth="1"/>
  </cols>
  <sheetData>
    <row r="1" spans="1:4" x14ac:dyDescent="0.35">
      <c r="A1" s="11" t="s">
        <v>19</v>
      </c>
      <c r="B1" s="1" t="s">
        <v>1</v>
      </c>
      <c r="C1" s="2" t="s">
        <v>2</v>
      </c>
      <c r="D1" s="2" t="s">
        <v>3</v>
      </c>
    </row>
    <row r="2" spans="1:4" x14ac:dyDescent="0.35">
      <c r="A2" s="9" t="s">
        <v>20</v>
      </c>
      <c r="B2" s="9">
        <v>62781</v>
      </c>
      <c r="C2" s="9">
        <v>304</v>
      </c>
      <c r="D2" s="14">
        <f>C2/B2</f>
        <v>4.8422293369012916E-3</v>
      </c>
    </row>
    <row r="3" spans="1:4" x14ac:dyDescent="0.35">
      <c r="A3" s="9" t="s">
        <v>21</v>
      </c>
      <c r="B3" s="9">
        <v>37235</v>
      </c>
      <c r="C3" s="9">
        <v>187</v>
      </c>
      <c r="D3" s="14">
        <f>C3/B3</f>
        <v>5.0221565731166911E-3</v>
      </c>
    </row>
    <row r="4" spans="1:4" x14ac:dyDescent="0.35">
      <c r="A4" s="4" t="s">
        <v>7</v>
      </c>
      <c r="B4" s="5">
        <f>SUM(B2:B3)</f>
        <v>100016</v>
      </c>
      <c r="C4" s="5">
        <f>SUM(C2:C3)</f>
        <v>491</v>
      </c>
      <c r="D4" s="6">
        <f>C4/B4</f>
        <v>4.909214525675892E-3</v>
      </c>
    </row>
  </sheetData>
  <conditionalFormatting sqref="A4">
    <cfRule type="duplicateValues" dxfId="1" priority="1"/>
  </conditionalFormatting>
  <conditionalFormatting sqref="A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REACH</vt:lpstr>
      <vt:lpstr>DATE</vt:lpstr>
      <vt:lpstr>APP URL</vt:lpstr>
      <vt:lpstr>TIME OF DAY</vt:lpstr>
      <vt:lpstr>EXCHANGE</vt:lpstr>
      <vt:lpstr>DEVICE</vt:lpstr>
      <vt:lpstr>CREATIVE</vt:lpstr>
      <vt:lpstr>CITY</vt:lpstr>
      <vt:lpstr>AGE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2025-12-16T11:01:31Z</dcterms:modified>
</cp:coreProperties>
</file>