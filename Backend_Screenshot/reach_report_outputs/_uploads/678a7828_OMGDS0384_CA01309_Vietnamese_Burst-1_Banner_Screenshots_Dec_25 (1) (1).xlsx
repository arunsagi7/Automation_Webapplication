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930"/>
  </bookViews>
  <sheets>
    <sheet name="REACH" sheetId="11" r:id="rId1"/>
    <sheet name="DATE" sheetId="1" r:id="rId2"/>
    <sheet name="APP URL" sheetId="3" r:id="rId3"/>
    <sheet name="TIME OF DAY" sheetId="2" r:id="rId4"/>
    <sheet name="EXCHANGE" sheetId="4" r:id="rId5"/>
    <sheet name="DEVICE" sheetId="5" r:id="rId6"/>
    <sheet name="CREATIVE" sheetId="6" r:id="rId7"/>
    <sheet name="CITY" sheetId="7" r:id="rId8"/>
    <sheet name="AGE" sheetId="9" r:id="rId9"/>
    <sheet name="GENDER" sheetId="10" r:id="rId10"/>
  </sheets>
  <definedNames>
    <definedName name="_xlnm._FilterDatabase" localSheetId="7" hidden="1">CITY!$A$1:$D$159</definedName>
    <definedName name="_xlnm._FilterDatabase" localSheetId="1" hidden="1">DATE!$A$1:$G$42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1" l="1"/>
  <c r="D3" i="10" l="1"/>
  <c r="D2" i="10"/>
  <c r="D3" i="9"/>
  <c r="D4" i="9"/>
  <c r="D5" i="9"/>
  <c r="D2" i="9"/>
  <c r="C160" i="7"/>
  <c r="B160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C22" i="4"/>
  <c r="B22" i="4"/>
  <c r="D20" i="4"/>
  <c r="D21" i="4"/>
  <c r="C60" i="3" l="1"/>
  <c r="B60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2" i="3"/>
  <c r="F42" i="1" l="1"/>
  <c r="E42" i="1"/>
  <c r="G32" i="1"/>
  <c r="G33" i="1"/>
  <c r="G34" i="1"/>
  <c r="G35" i="1"/>
  <c r="G36" i="1"/>
  <c r="G37" i="1"/>
  <c r="G38" i="1"/>
  <c r="G39" i="1"/>
  <c r="G40" i="1"/>
  <c r="G41" i="1"/>
  <c r="C42" i="1"/>
  <c r="B42" i="1"/>
  <c r="D18" i="1"/>
  <c r="G18" i="1"/>
  <c r="D19" i="1"/>
  <c r="G19" i="1"/>
  <c r="D20" i="1"/>
  <c r="G20" i="1"/>
  <c r="D21" i="1"/>
  <c r="G21" i="1"/>
  <c r="D22" i="1"/>
  <c r="G22" i="1"/>
  <c r="D23" i="1"/>
  <c r="G23" i="1"/>
  <c r="D24" i="1"/>
  <c r="G24" i="1"/>
  <c r="D25" i="1"/>
  <c r="G25" i="1"/>
  <c r="D26" i="1"/>
  <c r="G26" i="1"/>
  <c r="D27" i="1"/>
  <c r="G27" i="1"/>
  <c r="D28" i="1"/>
  <c r="G28" i="1"/>
  <c r="D29" i="1"/>
  <c r="G29" i="1"/>
  <c r="D30" i="1"/>
  <c r="G30" i="1"/>
  <c r="D31" i="1"/>
  <c r="G31" i="1"/>
  <c r="D32" i="1"/>
  <c r="D33" i="1"/>
  <c r="D34" i="1"/>
  <c r="D35" i="1"/>
  <c r="D36" i="1"/>
  <c r="D37" i="1"/>
  <c r="D38" i="1"/>
  <c r="D39" i="1"/>
  <c r="D40" i="1"/>
  <c r="D41" i="1"/>
  <c r="C26" i="2" l="1"/>
  <c r="B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26" i="2" l="1"/>
  <c r="C4" i="10" l="1"/>
  <c r="B4" i="10"/>
  <c r="C6" i="9"/>
  <c r="B6" i="9"/>
  <c r="D4" i="10" l="1"/>
  <c r="D6" i="9"/>
  <c r="D2" i="7"/>
  <c r="D160" i="7" l="1"/>
  <c r="D60" i="3"/>
  <c r="C6" i="6"/>
  <c r="B6" i="6"/>
  <c r="D3" i="6"/>
  <c r="D4" i="6"/>
  <c r="D5" i="6"/>
  <c r="D2" i="6"/>
  <c r="C5" i="5"/>
  <c r="B5" i="5"/>
  <c r="D4" i="5"/>
  <c r="D3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" i="4"/>
  <c r="D5" i="5" l="1"/>
  <c r="D6" i="6"/>
  <c r="D22" i="4"/>
  <c r="G17" i="1" l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G42" i="1"/>
  <c r="D42" i="1" l="1"/>
</calcChain>
</file>

<file path=xl/sharedStrings.xml><?xml version="1.0" encoding="utf-8"?>
<sst xmlns="http://schemas.openxmlformats.org/spreadsheetml/2006/main" count="342" uniqueCount="307">
  <si>
    <t>Date</t>
  </si>
  <si>
    <t>Impressions</t>
  </si>
  <si>
    <t>Clicks</t>
  </si>
  <si>
    <t>Click Rate (CTR)</t>
  </si>
  <si>
    <t>Viewable Impressions</t>
  </si>
  <si>
    <t>Measurable Impressions</t>
  </si>
  <si>
    <t>Viewability</t>
  </si>
  <si>
    <t>Grand Total</t>
  </si>
  <si>
    <t>Time of Day</t>
  </si>
  <si>
    <t>App/URL</t>
  </si>
  <si>
    <t>Exchange</t>
  </si>
  <si>
    <t>Creative</t>
  </si>
  <si>
    <t>City</t>
  </si>
  <si>
    <t>Device Type</t>
  </si>
  <si>
    <t>Age</t>
  </si>
  <si>
    <t>18-24</t>
  </si>
  <si>
    <t>25-34</t>
  </si>
  <si>
    <t>35-44</t>
  </si>
  <si>
    <t>45-54</t>
  </si>
  <si>
    <t>Gender</t>
  </si>
  <si>
    <t>Male</t>
  </si>
  <si>
    <t>Female</t>
  </si>
  <si>
    <t>Reach</t>
  </si>
  <si>
    <t>Frequency</t>
  </si>
  <si>
    <t>06 November, 2025</t>
  </si>
  <si>
    <t>07 November, 2025</t>
  </si>
  <si>
    <t>08 November, 2025</t>
  </si>
  <si>
    <t>09 November, 2025</t>
  </si>
  <si>
    <t>10 November, 2025</t>
  </si>
  <si>
    <t>11 November, 2025</t>
  </si>
  <si>
    <t>12 November, 2025</t>
  </si>
  <si>
    <t>13 November, 2025</t>
  </si>
  <si>
    <t>14 November, 2025</t>
  </si>
  <si>
    <t>15 November, 2025</t>
  </si>
  <si>
    <t>16 November, 2025</t>
  </si>
  <si>
    <t>17 November, 2025</t>
  </si>
  <si>
    <t>18 November, 2025</t>
  </si>
  <si>
    <t>19 November, 2025</t>
  </si>
  <si>
    <t>20 November, 2025</t>
  </si>
  <si>
    <t>21 November, 2025</t>
  </si>
  <si>
    <t>22 November, 2025</t>
  </si>
  <si>
    <t>23 November, 2025</t>
  </si>
  <si>
    <t>24 November, 2025</t>
  </si>
  <si>
    <t>25 November, 2025</t>
  </si>
  <si>
    <t>26 November, 2025</t>
  </si>
  <si>
    <t>27 November, 2025</t>
  </si>
  <si>
    <t>28 November, 2025</t>
  </si>
  <si>
    <t>29 November, 2025</t>
  </si>
  <si>
    <t>30 November, 2025</t>
  </si>
  <si>
    <t>01 December, 2025</t>
  </si>
  <si>
    <t>02 December, 2025</t>
  </si>
  <si>
    <t>03 December, 2025</t>
  </si>
  <si>
    <t>04 December, 2025</t>
  </si>
  <si>
    <t>05 December, 2025</t>
  </si>
  <si>
    <t>06 December, 2025</t>
  </si>
  <si>
    <t>07 December, 2025</t>
  </si>
  <si>
    <t>08 December, 2025</t>
  </si>
  <si>
    <t>09 December, 2025</t>
  </si>
  <si>
    <t>10 December, 2025</t>
  </si>
  <si>
    <t>11 December, 2025</t>
  </si>
  <si>
    <t>12 December, 2025</t>
  </si>
  <si>
    <t>13 December, 2025</t>
  </si>
  <si>
    <t>14 December, 2025</t>
  </si>
  <si>
    <t>15 December, 2025</t>
  </si>
  <si>
    <t>vnexpress.net</t>
  </si>
  <si>
    <t>24h.com.vn</t>
  </si>
  <si>
    <t>dantri.com.vn</t>
  </si>
  <si>
    <t>voz.vn</t>
  </si>
  <si>
    <t>tintuconline.com.vn</t>
  </si>
  <si>
    <t>vietnamnet.vn</t>
  </si>
  <si>
    <t>2sao.vn</t>
  </si>
  <si>
    <t>bongda.com.vn</t>
  </si>
  <si>
    <t>tuoitre.vn</t>
  </si>
  <si>
    <t>nguoiviettaiuc.com</t>
  </si>
  <si>
    <t>hopamviet.vn</t>
  </si>
  <si>
    <t>lichngaytot.com</t>
  </si>
  <si>
    <t>ngoisao.vn</t>
  </si>
  <si>
    <t>thethao247.vn</t>
  </si>
  <si>
    <t>tienphong.vn</t>
  </si>
  <si>
    <t>baotiengdan.com</t>
  </si>
  <si>
    <t>danviet.vn</t>
  </si>
  <si>
    <t>eva.vn</t>
  </si>
  <si>
    <t>tinhte.vn</t>
  </si>
  <si>
    <t>saigonbao.com</t>
  </si>
  <si>
    <t>saostar.vn</t>
  </si>
  <si>
    <t>bongdaplus.vn</t>
  </si>
  <si>
    <t>thethaovanhoa.vn</t>
  </si>
  <si>
    <t>vtimes.com.au</t>
  </si>
  <si>
    <t>chotot.com</t>
  </si>
  <si>
    <t>thanhnien.vn</t>
  </si>
  <si>
    <t>ngaydep.com</t>
  </si>
  <si>
    <t>NhacCuaTui - Find MP3 Music - iOS (1210763463)</t>
  </si>
  <si>
    <t>Chợ Tốt: Chuyên mua bán Online - iOS (790034666)</t>
  </si>
  <si>
    <t>congan.com.vn</t>
  </si>
  <si>
    <t>datviet.com</t>
  </si>
  <si>
    <t>muaban.net</t>
  </si>
  <si>
    <t>phunuonline.com.vn</t>
  </si>
  <si>
    <t>baomoi.com</t>
  </si>
  <si>
    <t>Chợ Tốt: Chuyên mua bán Online - Android (com.chotot.vn)</t>
  </si>
  <si>
    <t>cafef.vn</t>
  </si>
  <si>
    <t>vnreview.vn</t>
  </si>
  <si>
    <t>emdep.vn</t>
  </si>
  <si>
    <t>kienthuc.net.vn</t>
  </si>
  <si>
    <t>Báo Dân trí - Dantri.com.vn - iOS (1455334618)</t>
  </si>
  <si>
    <t>kenh14.vn</t>
  </si>
  <si>
    <t>webtretho.com</t>
  </si>
  <si>
    <t>NhacCuaTui - Android (ht.nct)</t>
  </si>
  <si>
    <t>canhco.net</t>
  </si>
  <si>
    <t>tintucnuocuc.com</t>
  </si>
  <si>
    <t>tiin.vn</t>
  </si>
  <si>
    <t>yan.vn</t>
  </si>
  <si>
    <t>docbao.vn</t>
  </si>
  <si>
    <t>baodatviet.vn</t>
  </si>
  <si>
    <t>guu.vn</t>
  </si>
  <si>
    <t>bestie.vn</t>
  </si>
  <si>
    <t>xaluan.com</t>
  </si>
  <si>
    <t>VnExpress.net - iOS (488630446)</t>
  </si>
  <si>
    <t>techz.vn</t>
  </si>
  <si>
    <t>bongda24h.vn</t>
  </si>
  <si>
    <t>plo.vn</t>
  </si>
  <si>
    <t>luatvietnam.vn</t>
  </si>
  <si>
    <t>ngoisao.vnexpress.net</t>
  </si>
  <si>
    <t>Adform</t>
  </si>
  <si>
    <t>BidSwitch</t>
  </si>
  <si>
    <t>Criteo Commerce Grid</t>
  </si>
  <si>
    <t>Equativ</t>
  </si>
  <si>
    <t>Fluct</t>
  </si>
  <si>
    <t>Google Ad Manager</t>
  </si>
  <si>
    <t>Improve Digital</t>
  </si>
  <si>
    <t>Index Exchange</t>
  </si>
  <si>
    <t>InMobi</t>
  </si>
  <si>
    <t>Magnite DV+</t>
  </si>
  <si>
    <t>Media.net</t>
  </si>
  <si>
    <t>Microsoft Monetize</t>
  </si>
  <si>
    <t>Nexxen (fka Unruly)</t>
  </si>
  <si>
    <t>OpenX</t>
  </si>
  <si>
    <t>PubMatic</t>
  </si>
  <si>
    <t>Smaato</t>
  </si>
  <si>
    <t>Sovrn</t>
  </si>
  <si>
    <t>Taboola</t>
  </si>
  <si>
    <t>TeadsTv</t>
  </si>
  <si>
    <t>Yieldmo</t>
  </si>
  <si>
    <t>CA01309_Vietnamese_Banner_120x600</t>
  </si>
  <si>
    <t>CA01309_Vietnamese_Banner_160x600</t>
  </si>
  <si>
    <t>CA01309_Vietnamese_Banner_320x250</t>
  </si>
  <si>
    <t>CA01309_Vietnamese_Banner_320x50</t>
  </si>
  <si>
    <t>Desktop</t>
  </si>
  <si>
    <t>Smart Phone</t>
  </si>
  <si>
    <t>Tablet</t>
  </si>
  <si>
    <t>Albury</t>
  </si>
  <si>
    <t>Anna Bay</t>
  </si>
  <si>
    <t>Armidale</t>
  </si>
  <si>
    <t>Ballina</t>
  </si>
  <si>
    <t>Bangalow</t>
  </si>
  <si>
    <t>Banora Point</t>
  </si>
  <si>
    <t>Bargo</t>
  </si>
  <si>
    <t>Barnsley</t>
  </si>
  <si>
    <t>Batemans Bay</t>
  </si>
  <si>
    <t>Bathurst</t>
  </si>
  <si>
    <t>Bega</t>
  </si>
  <si>
    <t>Bellingen</t>
  </si>
  <si>
    <t>Berowra</t>
  </si>
  <si>
    <t>Berowra Heights</t>
  </si>
  <si>
    <t>Blackheath</t>
  </si>
  <si>
    <t>Bomaderry</t>
  </si>
  <si>
    <t>Bonny Hills</t>
  </si>
  <si>
    <t>Bowral</t>
  </si>
  <si>
    <t>Bowral - Mittagong</t>
  </si>
  <si>
    <t>Box Hill</t>
  </si>
  <si>
    <t>Branxton</t>
  </si>
  <si>
    <t>Bringelly</t>
  </si>
  <si>
    <t>Broken Hill</t>
  </si>
  <si>
    <t>Brunswick Heads</t>
  </si>
  <si>
    <t>Bulli</t>
  </si>
  <si>
    <t>Bungendore</t>
  </si>
  <si>
    <t>Byron Bay</t>
  </si>
  <si>
    <t>Casino</t>
  </si>
  <si>
    <t>Catherine Field</t>
  </si>
  <si>
    <t>Central Coast</t>
  </si>
  <si>
    <t>Cessnock</t>
  </si>
  <si>
    <t>City of Campbelltown</t>
  </si>
  <si>
    <t>Coffs Harbour</t>
  </si>
  <si>
    <t>Cooma</t>
  </si>
  <si>
    <t>Cooranbong</t>
  </si>
  <si>
    <t>Cootamundra</t>
  </si>
  <si>
    <t>Corrimal</t>
  </si>
  <si>
    <t>Cowra</t>
  </si>
  <si>
    <t>Cranebrook</t>
  </si>
  <si>
    <t>Cronulla</t>
  </si>
  <si>
    <t>Dubbo</t>
  </si>
  <si>
    <t>Dural</t>
  </si>
  <si>
    <t>East Maitland</t>
  </si>
  <si>
    <t>East Tamworth</t>
  </si>
  <si>
    <t>Eden</t>
  </si>
  <si>
    <t>Evans Head</t>
  </si>
  <si>
    <t>Fairfield City Council</t>
  </si>
  <si>
    <t>Figtree</t>
  </si>
  <si>
    <t>Forbes</t>
  </si>
  <si>
    <t>Galston</t>
  </si>
  <si>
    <t>Glenmore Park</t>
  </si>
  <si>
    <t>Glenorie</t>
  </si>
  <si>
    <t>Googong</t>
  </si>
  <si>
    <t>Goulburn</t>
  </si>
  <si>
    <t>Grafton</t>
  </si>
  <si>
    <t>Griffith</t>
  </si>
  <si>
    <t>Gunnedah</t>
  </si>
  <si>
    <t>Heddon Greta</t>
  </si>
  <si>
    <t>Helensburgh</t>
  </si>
  <si>
    <t>Holsworthy</t>
  </si>
  <si>
    <t>Hornsby</t>
  </si>
  <si>
    <t>Hornsby Heights</t>
  </si>
  <si>
    <t>Huskisson</t>
  </si>
  <si>
    <t>Inverell</t>
  </si>
  <si>
    <t>Jindabyne</t>
  </si>
  <si>
    <t>Junee</t>
  </si>
  <si>
    <t>Karabar</t>
  </si>
  <si>
    <t>Katoomba</t>
  </si>
  <si>
    <t>Kemps Creek</t>
  </si>
  <si>
    <t>Kiama</t>
  </si>
  <si>
    <t>Kingscliff</t>
  </si>
  <si>
    <t>Kooragang</t>
  </si>
  <si>
    <t>Ku-ring-gai Council</t>
  </si>
  <si>
    <t>Kurri Kurri</t>
  </si>
  <si>
    <t>Lavington</t>
  </si>
  <si>
    <t>Leeton</t>
  </si>
  <si>
    <t>Leppington</t>
  </si>
  <si>
    <t>Lismore</t>
  </si>
  <si>
    <t>Lithgow</t>
  </si>
  <si>
    <t>Liverpool City Council</t>
  </si>
  <si>
    <t>Macksville</t>
  </si>
  <si>
    <t>Maitland</t>
  </si>
  <si>
    <t>Marulan</t>
  </si>
  <si>
    <t>Medowie</t>
  </si>
  <si>
    <t>Menangle Park</t>
  </si>
  <si>
    <t>Minto</t>
  </si>
  <si>
    <t>Mittagong</t>
  </si>
  <si>
    <t>Moama</t>
  </si>
  <si>
    <t>Morisset</t>
  </si>
  <si>
    <t>Moruya</t>
  </si>
  <si>
    <t>Moss Vale</t>
  </si>
  <si>
    <t>Mount Kuring-gai</t>
  </si>
  <si>
    <t>Mudgee</t>
  </si>
  <si>
    <t>Murrumbateman</t>
  </si>
  <si>
    <t>Murwillumbah</t>
  </si>
  <si>
    <t>Muswellbrook</t>
  </si>
  <si>
    <t>Nambucca Heads</t>
  </si>
  <si>
    <t>Narrabri</t>
  </si>
  <si>
    <t>Nelson Bay</t>
  </si>
  <si>
    <t>Newcastle</t>
  </si>
  <si>
    <t>Newcastle City Council</t>
  </si>
  <si>
    <t>North Richmond</t>
  </si>
  <si>
    <t>North Tamworth</t>
  </si>
  <si>
    <t>Northern Beaches Council</t>
  </si>
  <si>
    <t>Nowra</t>
  </si>
  <si>
    <t>Oberon</t>
  </si>
  <si>
    <t>Orange</t>
  </si>
  <si>
    <t>Orchard Hills</t>
  </si>
  <si>
    <t>Parkes</t>
  </si>
  <si>
    <t>Penrith City Council</t>
  </si>
  <si>
    <t>Picton</t>
  </si>
  <si>
    <t>Port Macquarie</t>
  </si>
  <si>
    <t>Port Stephens Council</t>
  </si>
  <si>
    <t>Queanbeyan</t>
  </si>
  <si>
    <t>Raymond Terrace</t>
  </si>
  <si>
    <t>Richmond</t>
  </si>
  <si>
    <t>Robertson</t>
  </si>
  <si>
    <t>Salamander Bay</t>
  </si>
  <si>
    <t>Sanctuary Point</t>
  </si>
  <si>
    <t>Scone</t>
  </si>
  <si>
    <t>Shoalhaven Heads</t>
  </si>
  <si>
    <t>Singleton</t>
  </si>
  <si>
    <t>Sussex Inlet</t>
  </si>
  <si>
    <t>Sutherland Shire Council</t>
  </si>
  <si>
    <t>Sutton</t>
  </si>
  <si>
    <t>Swansea</t>
  </si>
  <si>
    <t>Sydney</t>
  </si>
  <si>
    <t>Tahmoor</t>
  </si>
  <si>
    <t>Tamworth</t>
  </si>
  <si>
    <t>Taree</t>
  </si>
  <si>
    <t>Teralba</t>
  </si>
  <si>
    <t>Terrey Hills</t>
  </si>
  <si>
    <t>The Council of the Shire of Hornsby</t>
  </si>
  <si>
    <t>The Hills Shire Council</t>
  </si>
  <si>
    <t>Thirlmere</t>
  </si>
  <si>
    <t>Thirroul</t>
  </si>
  <si>
    <t>Thornton</t>
  </si>
  <si>
    <t>Tumut</t>
  </si>
  <si>
    <t>Tuncurry</t>
  </si>
  <si>
    <t>Tweed Heads</t>
  </si>
  <si>
    <t>Ulladulla</t>
  </si>
  <si>
    <t>Varroville</t>
  </si>
  <si>
    <t>Vincentia</t>
  </si>
  <si>
    <t>Wagga Wagga</t>
  </si>
  <si>
    <t>Wallaroo</t>
  </si>
  <si>
    <t>Warragamba</t>
  </si>
  <si>
    <t>Wauchope</t>
  </si>
  <si>
    <t>West Kempsey</t>
  </si>
  <si>
    <t>West Wallsend</t>
  </si>
  <si>
    <t>Weston</t>
  </si>
  <si>
    <t>Wollongong</t>
  </si>
  <si>
    <t>Woolgoolga</t>
  </si>
  <si>
    <t>Woonona</t>
  </si>
  <si>
    <t>Worrigee</t>
  </si>
  <si>
    <t>Wyong Shire</t>
  </si>
  <si>
    <t>Yamba</t>
  </si>
  <si>
    <t>Yass</t>
  </si>
  <si>
    <t>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</si>
</sst>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10" fontId="4" fillId="4" borderId="1" xfId="1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10" fontId="5" fillId="0" borderId="1" xfId="0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5" fillId="0" borderId="1" xfId="0" applyFont="1" applyBorder="1" applyAlignment="1"/>
    <xf numFmtId="0" fontId="5" fillId="0" borderId="1" xfId="0" applyFont="1" applyFill="1" applyBorder="1"/>
    <xf numFmtId="10" fontId="5" fillId="0" borderId="1" xfId="0" applyNumberFormat="1" applyFont="1" applyBorder="1" applyAlignment="1">
      <alignment horizontal="center"/>
    </xf>
    <xf numFmtId="10" fontId="5" fillId="0" borderId="1" xfId="0" applyNumberFormat="1" applyFont="1" applyBorder="1"/>
    <xf numFmtId="10" fontId="2" fillId="4" borderId="1" xfId="0" applyNumberFormat="1" applyFont="1" applyFill="1" applyBorder="1" applyAlignment="1">
      <alignment horizontal="right"/>
    </xf>
    <xf numFmtId="10" fontId="5" fillId="0" borderId="1" xfId="0" applyNumberFormat="1" applyFont="1" applyFill="1" applyBorder="1" applyAlignment="1">
      <alignment horizontal="right"/>
    </xf>
    <xf numFmtId="0" fontId="5" fillId="0" borderId="1" xfId="0" applyNumberFormat="1" applyFont="1" applyBorder="1" applyAlignment="1">
      <alignment horizontal="center"/>
    </xf>
    <xf numFmtId="0" fontId="5" fillId="0" borderId="1" xfId="0" applyNumberFormat="1" applyFont="1" applyBorder="1"/>
    <xf numFmtId="0" fontId="5" fillId="5" borderId="1" xfId="0" applyFont="1" applyFill="1" applyBorder="1" applyAlignment="1"/>
    <xf numFmtId="10" fontId="5" fillId="0" borderId="1" xfId="1" applyNumberFormat="1" applyFont="1" applyBorder="1" applyAlignment="1">
      <alignment horizontal="right"/>
    </xf>
    <xf numFmtId="0" fontId="6" fillId="2" borderId="1" xfId="0" applyFont="1" applyFill="1" applyBorder="1" applyAlignment="1"/>
    <xf numFmtId="0" fontId="6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0" fontId="5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17" sqref="B17"/>
    </sheetView>
  </sheetViews>
  <sheetFormatPr defaultRowHeight="14.5" x14ac:dyDescent="0.35"/>
  <cols>
    <col min="1" max="1" width="10.90625" bestFit="1" customWidth="1"/>
    <col min="3" max="3" width="13.90625" bestFit="1" customWidth="1"/>
    <col min="4" max="4" width="5.81640625" bestFit="1" customWidth="1"/>
    <col min="5" max="5" width="9.453125" bestFit="1" customWidth="1"/>
  </cols>
  <sheetData>
    <row r="1" spans="1:5" x14ac:dyDescent="0.35">
      <c r="A1" s="3" t="s">
        <v>1</v>
      </c>
      <c r="B1" s="3" t="s">
        <v>2</v>
      </c>
      <c r="C1" s="3" t="s">
        <v>3</v>
      </c>
      <c r="D1" s="3" t="s">
        <v>22</v>
      </c>
      <c r="E1" s="3" t="s">
        <v>23</v>
      </c>
    </row>
    <row r="2" spans="1:5" x14ac:dyDescent="0.35">
      <c r="A2" s="24">
        <v>150020</v>
      </c>
      <c r="B2" s="24">
        <v>727</v>
      </c>
      <c r="C2" s="25">
        <f>B2/A2</f>
        <v>4.8460205305959209E-3</v>
      </c>
      <c r="D2" s="24">
        <v>52778</v>
      </c>
      <c r="E2" s="2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B52" sqref="B52"/>
    </sheetView>
  </sheetViews>
  <sheetFormatPr defaultRowHeight="14.5" x14ac:dyDescent="0.35"/>
  <cols>
    <col min="1" max="1" width="15.6328125" bestFit="1" customWidth="1"/>
    <col min="2" max="2" width="15.1796875" customWidth="1"/>
    <col min="3" max="3" width="13.1796875" customWidth="1"/>
    <col min="4" max="4" width="16.54296875" customWidth="1"/>
    <col min="5" max="5" width="24.08984375" customWidth="1"/>
    <col min="6" max="6" width="25.36328125" customWidth="1"/>
    <col min="7" max="7" width="13.453125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7" t="s">
        <v>24</v>
      </c>
      <c r="B2" s="7">
        <v>925</v>
      </c>
      <c r="C2" s="7">
        <v>4</v>
      </c>
      <c r="D2" s="14">
        <f>C2/B2</f>
        <v>4.3243243243243244E-3</v>
      </c>
      <c r="E2" s="18">
        <v>766</v>
      </c>
      <c r="F2" s="18">
        <v>925</v>
      </c>
      <c r="G2" s="14">
        <f>E2/F2</f>
        <v>0.82810810810810809</v>
      </c>
    </row>
    <row r="3" spans="1:7" x14ac:dyDescent="0.35">
      <c r="A3" s="7" t="s">
        <v>25</v>
      </c>
      <c r="B3" s="7">
        <v>1873</v>
      </c>
      <c r="C3" s="7">
        <v>8</v>
      </c>
      <c r="D3" s="14">
        <f t="shared" ref="D3:D17" si="0">C3/B3</f>
        <v>4.2712226374799784E-3</v>
      </c>
      <c r="E3" s="18">
        <v>1652</v>
      </c>
      <c r="F3" s="18">
        <v>1872</v>
      </c>
      <c r="G3" s="14">
        <f t="shared" ref="G3:G17" si="1">E3/F3</f>
        <v>0.88247863247863245</v>
      </c>
    </row>
    <row r="4" spans="1:7" x14ac:dyDescent="0.35">
      <c r="A4" s="7" t="s">
        <v>26</v>
      </c>
      <c r="B4" s="7">
        <v>2047</v>
      </c>
      <c r="C4" s="7">
        <v>11</v>
      </c>
      <c r="D4" s="14">
        <f t="shared" si="0"/>
        <v>5.3737176355642402E-3</v>
      </c>
      <c r="E4" s="18">
        <v>1652</v>
      </c>
      <c r="F4" s="18">
        <v>2044</v>
      </c>
      <c r="G4" s="14">
        <f t="shared" si="1"/>
        <v>0.80821917808219179</v>
      </c>
    </row>
    <row r="5" spans="1:7" x14ac:dyDescent="0.35">
      <c r="A5" s="7" t="s">
        <v>27</v>
      </c>
      <c r="B5" s="7">
        <v>2044</v>
      </c>
      <c r="C5" s="7">
        <v>8</v>
      </c>
      <c r="D5" s="14">
        <f t="shared" si="0"/>
        <v>3.9138943248532287E-3</v>
      </c>
      <c r="E5" s="18">
        <v>1608</v>
      </c>
      <c r="F5" s="18">
        <v>2041</v>
      </c>
      <c r="G5" s="14">
        <f t="shared" si="1"/>
        <v>0.78784909358157762</v>
      </c>
    </row>
    <row r="6" spans="1:7" x14ac:dyDescent="0.35">
      <c r="A6" s="7" t="s">
        <v>28</v>
      </c>
      <c r="B6" s="7">
        <v>2038</v>
      </c>
      <c r="C6" s="7">
        <v>12</v>
      </c>
      <c r="D6" s="14">
        <f t="shared" si="0"/>
        <v>5.8881256133464181E-3</v>
      </c>
      <c r="E6" s="18">
        <v>1529</v>
      </c>
      <c r="F6" s="18">
        <v>2033</v>
      </c>
      <c r="G6" s="14">
        <f t="shared" si="1"/>
        <v>0.75209050664043287</v>
      </c>
    </row>
    <row r="7" spans="1:7" x14ac:dyDescent="0.35">
      <c r="A7" s="7" t="s">
        <v>29</v>
      </c>
      <c r="B7" s="7">
        <v>2038</v>
      </c>
      <c r="C7" s="7">
        <v>9</v>
      </c>
      <c r="D7" s="14">
        <f t="shared" si="0"/>
        <v>4.416094210009814E-3</v>
      </c>
      <c r="E7" s="18">
        <v>1577</v>
      </c>
      <c r="F7" s="18">
        <v>2038</v>
      </c>
      <c r="G7" s="14">
        <f t="shared" si="1"/>
        <v>0.77379784102060845</v>
      </c>
    </row>
    <row r="8" spans="1:7" x14ac:dyDescent="0.35">
      <c r="A8" s="7" t="s">
        <v>30</v>
      </c>
      <c r="B8" s="7">
        <v>4905</v>
      </c>
      <c r="C8" s="7">
        <v>25</v>
      </c>
      <c r="D8" s="14">
        <f t="shared" si="0"/>
        <v>5.0968399592252805E-3</v>
      </c>
      <c r="E8" s="18">
        <v>4045</v>
      </c>
      <c r="F8" s="18">
        <v>4896</v>
      </c>
      <c r="G8" s="14">
        <f t="shared" si="1"/>
        <v>0.82618464052287577</v>
      </c>
    </row>
    <row r="9" spans="1:7" x14ac:dyDescent="0.35">
      <c r="A9" s="7" t="s">
        <v>31</v>
      </c>
      <c r="B9" s="7">
        <v>4866</v>
      </c>
      <c r="C9" s="7">
        <v>21</v>
      </c>
      <c r="D9" s="14">
        <f t="shared" si="0"/>
        <v>4.3156596794081377E-3</v>
      </c>
      <c r="E9" s="18">
        <v>3974</v>
      </c>
      <c r="F9" s="18">
        <v>4862</v>
      </c>
      <c r="G9" s="14">
        <f t="shared" si="1"/>
        <v>0.81735911147675855</v>
      </c>
    </row>
    <row r="10" spans="1:7" x14ac:dyDescent="0.35">
      <c r="A10" s="7" t="s">
        <v>32</v>
      </c>
      <c r="B10" s="7">
        <v>4842</v>
      </c>
      <c r="C10" s="7">
        <v>26</v>
      </c>
      <c r="D10" s="14">
        <f t="shared" si="0"/>
        <v>5.3696819496076003E-3</v>
      </c>
      <c r="E10" s="18">
        <v>3894</v>
      </c>
      <c r="F10" s="18">
        <v>4840</v>
      </c>
      <c r="G10" s="14">
        <f t="shared" si="1"/>
        <v>0.80454545454545456</v>
      </c>
    </row>
    <row r="11" spans="1:7" x14ac:dyDescent="0.35">
      <c r="A11" s="7" t="s">
        <v>33</v>
      </c>
      <c r="B11" s="7">
        <v>4812</v>
      </c>
      <c r="C11" s="7">
        <v>23</v>
      </c>
      <c r="D11" s="14">
        <f t="shared" si="0"/>
        <v>4.7797173732335831E-3</v>
      </c>
      <c r="E11" s="18">
        <v>3806</v>
      </c>
      <c r="F11" s="18">
        <v>4805</v>
      </c>
      <c r="G11" s="14">
        <f t="shared" si="1"/>
        <v>0.79209157127991681</v>
      </c>
    </row>
    <row r="12" spans="1:7" x14ac:dyDescent="0.35">
      <c r="A12" s="7" t="s">
        <v>34</v>
      </c>
      <c r="B12" s="7">
        <v>4783</v>
      </c>
      <c r="C12" s="7">
        <v>25</v>
      </c>
      <c r="D12" s="14">
        <f t="shared" si="0"/>
        <v>5.2268450763119385E-3</v>
      </c>
      <c r="E12" s="18">
        <v>3664</v>
      </c>
      <c r="F12" s="18">
        <v>4781</v>
      </c>
      <c r="G12" s="14">
        <f t="shared" si="1"/>
        <v>0.76636686885588789</v>
      </c>
    </row>
    <row r="13" spans="1:7" x14ac:dyDescent="0.35">
      <c r="A13" s="7" t="s">
        <v>35</v>
      </c>
      <c r="B13" s="7">
        <v>4746</v>
      </c>
      <c r="C13" s="7">
        <v>22</v>
      </c>
      <c r="D13" s="14">
        <f t="shared" si="0"/>
        <v>4.6354825115887061E-3</v>
      </c>
      <c r="E13" s="18">
        <v>3791</v>
      </c>
      <c r="F13" s="18">
        <v>4740</v>
      </c>
      <c r="G13" s="14">
        <f t="shared" si="1"/>
        <v>0.79978902953586495</v>
      </c>
    </row>
    <row r="14" spans="1:7" x14ac:dyDescent="0.35">
      <c r="A14" s="7" t="s">
        <v>36</v>
      </c>
      <c r="B14" s="7">
        <v>4702</v>
      </c>
      <c r="C14" s="7">
        <v>27</v>
      </c>
      <c r="D14" s="14">
        <f t="shared" si="0"/>
        <v>5.7422373458102935E-3</v>
      </c>
      <c r="E14" s="18">
        <v>3651</v>
      </c>
      <c r="F14" s="18">
        <v>4699</v>
      </c>
      <c r="G14" s="14">
        <f t="shared" si="1"/>
        <v>0.77697382421791872</v>
      </c>
    </row>
    <row r="15" spans="1:7" x14ac:dyDescent="0.35">
      <c r="A15" s="7" t="s">
        <v>37</v>
      </c>
      <c r="B15" s="7">
        <v>4679</v>
      </c>
      <c r="C15" s="7">
        <v>21</v>
      </c>
      <c r="D15" s="14">
        <f t="shared" si="0"/>
        <v>4.4881384911305833E-3</v>
      </c>
      <c r="E15" s="18">
        <v>3573</v>
      </c>
      <c r="F15" s="18">
        <v>4676</v>
      </c>
      <c r="G15" s="14">
        <f t="shared" si="1"/>
        <v>0.76411462788708295</v>
      </c>
    </row>
    <row r="16" spans="1:7" x14ac:dyDescent="0.35">
      <c r="A16" s="7" t="s">
        <v>38</v>
      </c>
      <c r="B16" s="7">
        <v>4637</v>
      </c>
      <c r="C16" s="7">
        <v>25</v>
      </c>
      <c r="D16" s="14">
        <f t="shared" si="0"/>
        <v>5.3914168643519516E-3</v>
      </c>
      <c r="E16" s="18">
        <v>3670</v>
      </c>
      <c r="F16" s="18">
        <v>4636</v>
      </c>
      <c r="G16" s="14">
        <f t="shared" si="1"/>
        <v>0.79163071613459879</v>
      </c>
    </row>
    <row r="17" spans="1:7" x14ac:dyDescent="0.35">
      <c r="A17" s="7" t="s">
        <v>39</v>
      </c>
      <c r="B17" s="7">
        <v>4598</v>
      </c>
      <c r="C17" s="7">
        <v>19</v>
      </c>
      <c r="D17" s="14">
        <f t="shared" si="0"/>
        <v>4.1322314049586778E-3</v>
      </c>
      <c r="E17" s="18">
        <v>3842</v>
      </c>
      <c r="F17" s="18">
        <v>4597</v>
      </c>
      <c r="G17" s="14">
        <f t="shared" si="1"/>
        <v>0.83576245377420055</v>
      </c>
    </row>
    <row r="18" spans="1:7" x14ac:dyDescent="0.35">
      <c r="A18" s="7" t="s">
        <v>40</v>
      </c>
      <c r="B18" s="7">
        <v>4566</v>
      </c>
      <c r="C18" s="7">
        <v>23</v>
      </c>
      <c r="D18" s="14">
        <f t="shared" ref="D18:D41" si="2">C18/B18</f>
        <v>5.0372317126587823E-3</v>
      </c>
      <c r="E18" s="18">
        <v>3778</v>
      </c>
      <c r="F18" s="18">
        <v>4563</v>
      </c>
      <c r="G18" s="14">
        <f t="shared" ref="G18:G41" si="3">E18/F18</f>
        <v>0.82796405873328949</v>
      </c>
    </row>
    <row r="19" spans="1:7" x14ac:dyDescent="0.35">
      <c r="A19" s="7" t="s">
        <v>41</v>
      </c>
      <c r="B19" s="7">
        <v>4521</v>
      </c>
      <c r="C19" s="7">
        <v>19</v>
      </c>
      <c r="D19" s="14">
        <f t="shared" si="2"/>
        <v>4.2026100420261003E-3</v>
      </c>
      <c r="E19" s="18">
        <v>3461</v>
      </c>
      <c r="F19" s="18">
        <v>4511</v>
      </c>
      <c r="G19" s="14">
        <f t="shared" si="3"/>
        <v>0.76723564619818219</v>
      </c>
    </row>
    <row r="20" spans="1:7" x14ac:dyDescent="0.35">
      <c r="A20" s="7" t="s">
        <v>42</v>
      </c>
      <c r="B20" s="7">
        <v>4495</v>
      </c>
      <c r="C20" s="7">
        <v>23</v>
      </c>
      <c r="D20" s="14">
        <f t="shared" si="2"/>
        <v>5.116796440489433E-3</v>
      </c>
      <c r="E20" s="18">
        <v>3667</v>
      </c>
      <c r="F20" s="18">
        <v>4490</v>
      </c>
      <c r="G20" s="14">
        <f t="shared" si="3"/>
        <v>0.81670378619153672</v>
      </c>
    </row>
    <row r="21" spans="1:7" x14ac:dyDescent="0.35">
      <c r="A21" s="7" t="s">
        <v>43</v>
      </c>
      <c r="B21" s="7">
        <v>4445</v>
      </c>
      <c r="C21" s="7">
        <v>21</v>
      </c>
      <c r="D21" s="14">
        <f t="shared" si="2"/>
        <v>4.7244094488188976E-3</v>
      </c>
      <c r="E21" s="18">
        <v>3660</v>
      </c>
      <c r="F21" s="18">
        <v>4441</v>
      </c>
      <c r="G21" s="14">
        <f t="shared" si="3"/>
        <v>0.8241387074983112</v>
      </c>
    </row>
    <row r="22" spans="1:7" x14ac:dyDescent="0.35">
      <c r="A22" s="7" t="s">
        <v>44</v>
      </c>
      <c r="B22" s="7">
        <v>4335</v>
      </c>
      <c r="C22" s="7">
        <v>23</v>
      </c>
      <c r="D22" s="14">
        <f t="shared" si="2"/>
        <v>5.3056516724336797E-3</v>
      </c>
      <c r="E22" s="18">
        <v>3278</v>
      </c>
      <c r="F22" s="18">
        <v>4319</v>
      </c>
      <c r="G22" s="14">
        <f t="shared" si="3"/>
        <v>0.75897198425561474</v>
      </c>
    </row>
    <row r="23" spans="1:7" x14ac:dyDescent="0.35">
      <c r="A23" s="7" t="s">
        <v>45</v>
      </c>
      <c r="B23" s="7">
        <v>4365</v>
      </c>
      <c r="C23" s="7">
        <v>24</v>
      </c>
      <c r="D23" s="14">
        <f t="shared" si="2"/>
        <v>5.4982817869415812E-3</v>
      </c>
      <c r="E23" s="18">
        <v>3602</v>
      </c>
      <c r="F23" s="18">
        <v>4362</v>
      </c>
      <c r="G23" s="14">
        <f t="shared" si="3"/>
        <v>0.82576799633195785</v>
      </c>
    </row>
    <row r="24" spans="1:7" x14ac:dyDescent="0.35">
      <c r="A24" s="7" t="s">
        <v>46</v>
      </c>
      <c r="B24" s="7">
        <v>4291</v>
      </c>
      <c r="C24" s="7">
        <v>17</v>
      </c>
      <c r="D24" s="14">
        <f t="shared" si="2"/>
        <v>3.9617804707527387E-3</v>
      </c>
      <c r="E24" s="18">
        <v>3318</v>
      </c>
      <c r="F24" s="18">
        <v>4283</v>
      </c>
      <c r="G24" s="14">
        <f t="shared" si="3"/>
        <v>0.77469063740368904</v>
      </c>
    </row>
    <row r="25" spans="1:7" x14ac:dyDescent="0.35">
      <c r="A25" s="7" t="s">
        <v>47</v>
      </c>
      <c r="B25" s="7">
        <v>4137</v>
      </c>
      <c r="C25" s="7">
        <v>22</v>
      </c>
      <c r="D25" s="14">
        <f t="shared" si="2"/>
        <v>5.3178631858834908E-3</v>
      </c>
      <c r="E25" s="18">
        <v>3134</v>
      </c>
      <c r="F25" s="18">
        <v>4127</v>
      </c>
      <c r="G25" s="14">
        <f t="shared" si="3"/>
        <v>0.75938938696389624</v>
      </c>
    </row>
    <row r="26" spans="1:7" x14ac:dyDescent="0.35">
      <c r="A26" s="7" t="s">
        <v>48</v>
      </c>
      <c r="B26" s="7">
        <v>3699</v>
      </c>
      <c r="C26" s="7">
        <v>17</v>
      </c>
      <c r="D26" s="14">
        <f t="shared" si="2"/>
        <v>4.5958367126250335E-3</v>
      </c>
      <c r="E26" s="18">
        <v>2831</v>
      </c>
      <c r="F26" s="18">
        <v>3694</v>
      </c>
      <c r="G26" s="14">
        <f t="shared" si="3"/>
        <v>0.76637791012452627</v>
      </c>
    </row>
    <row r="27" spans="1:7" x14ac:dyDescent="0.35">
      <c r="A27" s="7" t="s">
        <v>49</v>
      </c>
      <c r="B27" s="7">
        <v>4204</v>
      </c>
      <c r="C27" s="7">
        <v>20</v>
      </c>
      <c r="D27" s="14">
        <f t="shared" si="2"/>
        <v>4.7573739295908657E-3</v>
      </c>
      <c r="E27" s="18">
        <v>3319</v>
      </c>
      <c r="F27" s="18">
        <v>4198</v>
      </c>
      <c r="G27" s="14">
        <f t="shared" si="3"/>
        <v>0.79061457837065274</v>
      </c>
    </row>
    <row r="28" spans="1:7" x14ac:dyDescent="0.35">
      <c r="A28" s="7" t="s">
        <v>50</v>
      </c>
      <c r="B28" s="7">
        <v>4146</v>
      </c>
      <c r="C28" s="7">
        <v>23</v>
      </c>
      <c r="D28" s="14">
        <f t="shared" si="2"/>
        <v>5.5475156777616977E-3</v>
      </c>
      <c r="E28" s="18">
        <v>3121</v>
      </c>
      <c r="F28" s="18">
        <v>4143</v>
      </c>
      <c r="G28" s="14">
        <f t="shared" si="3"/>
        <v>0.7533188510741009</v>
      </c>
    </row>
    <row r="29" spans="1:7" x14ac:dyDescent="0.35">
      <c r="A29" s="7" t="s">
        <v>51</v>
      </c>
      <c r="B29" s="7">
        <v>4066</v>
      </c>
      <c r="C29" s="7">
        <v>17</v>
      </c>
      <c r="D29" s="14">
        <f t="shared" si="2"/>
        <v>4.181013280865716E-3</v>
      </c>
      <c r="E29" s="18">
        <v>3375</v>
      </c>
      <c r="F29" s="18">
        <v>4060</v>
      </c>
      <c r="G29" s="14">
        <f t="shared" si="3"/>
        <v>0.83128078817733986</v>
      </c>
    </row>
    <row r="30" spans="1:7" x14ac:dyDescent="0.35">
      <c r="A30" s="7" t="s">
        <v>52</v>
      </c>
      <c r="B30" s="7">
        <v>4022</v>
      </c>
      <c r="C30" s="7">
        <v>21</v>
      </c>
      <c r="D30" s="14">
        <f t="shared" si="2"/>
        <v>5.2212829438090498E-3</v>
      </c>
      <c r="E30" s="18">
        <v>3371</v>
      </c>
      <c r="F30" s="18">
        <v>3983</v>
      </c>
      <c r="G30" s="14">
        <f t="shared" si="3"/>
        <v>0.84634697464222952</v>
      </c>
    </row>
    <row r="31" spans="1:7" x14ac:dyDescent="0.35">
      <c r="A31" s="7" t="s">
        <v>53</v>
      </c>
      <c r="B31" s="7">
        <v>3937</v>
      </c>
      <c r="C31" s="7">
        <v>16</v>
      </c>
      <c r="D31" s="14">
        <f t="shared" si="2"/>
        <v>4.0640081280162556E-3</v>
      </c>
      <c r="E31" s="18">
        <v>2991</v>
      </c>
      <c r="F31" s="18">
        <v>3927</v>
      </c>
      <c r="G31" s="14">
        <f t="shared" si="3"/>
        <v>0.76165011459129106</v>
      </c>
    </row>
    <row r="32" spans="1:7" x14ac:dyDescent="0.35">
      <c r="A32" s="7" t="s">
        <v>54</v>
      </c>
      <c r="B32" s="7">
        <v>3838</v>
      </c>
      <c r="C32" s="7">
        <v>15</v>
      </c>
      <c r="D32" s="14">
        <f t="shared" si="2"/>
        <v>3.9082855653986455E-3</v>
      </c>
      <c r="E32" s="18">
        <v>3033</v>
      </c>
      <c r="F32" s="18">
        <v>3825</v>
      </c>
      <c r="G32" s="14">
        <f t="shared" si="3"/>
        <v>0.79294117647058826</v>
      </c>
    </row>
    <row r="33" spans="1:7" x14ac:dyDescent="0.35">
      <c r="A33" s="7" t="s">
        <v>55</v>
      </c>
      <c r="B33" s="7">
        <v>3792</v>
      </c>
      <c r="C33" s="7">
        <v>16</v>
      </c>
      <c r="D33" s="14">
        <f t="shared" si="2"/>
        <v>4.2194092827004216E-3</v>
      </c>
      <c r="E33" s="18">
        <v>2990</v>
      </c>
      <c r="F33" s="18">
        <v>3789</v>
      </c>
      <c r="G33" s="14">
        <f t="shared" si="3"/>
        <v>0.78912641858010024</v>
      </c>
    </row>
    <row r="34" spans="1:7" x14ac:dyDescent="0.35">
      <c r="A34" s="7" t="s">
        <v>56</v>
      </c>
      <c r="B34" s="7">
        <v>3687</v>
      </c>
      <c r="C34" s="7">
        <v>21</v>
      </c>
      <c r="D34" s="14">
        <f t="shared" si="2"/>
        <v>5.6956875508543531E-3</v>
      </c>
      <c r="E34" s="18">
        <v>3010</v>
      </c>
      <c r="F34" s="18">
        <v>3681</v>
      </c>
      <c r="G34" s="14">
        <f t="shared" si="3"/>
        <v>0.81771257810377618</v>
      </c>
    </row>
    <row r="35" spans="1:7" x14ac:dyDescent="0.35">
      <c r="A35" s="7" t="s">
        <v>57</v>
      </c>
      <c r="B35" s="7">
        <v>3587</v>
      </c>
      <c r="C35" s="7">
        <v>17</v>
      </c>
      <c r="D35" s="14">
        <f t="shared" si="2"/>
        <v>4.7393364928909956E-3</v>
      </c>
      <c r="E35" s="18">
        <v>3025</v>
      </c>
      <c r="F35" s="18">
        <v>3574</v>
      </c>
      <c r="G35" s="14">
        <f t="shared" si="3"/>
        <v>0.84639059876888645</v>
      </c>
    </row>
    <row r="36" spans="1:7" x14ac:dyDescent="0.35">
      <c r="A36" s="7" t="s">
        <v>58</v>
      </c>
      <c r="B36" s="7">
        <v>3467</v>
      </c>
      <c r="C36" s="7">
        <v>19</v>
      </c>
      <c r="D36" s="14">
        <f t="shared" si="2"/>
        <v>5.4802422843957315E-3</v>
      </c>
      <c r="E36" s="18">
        <v>2719</v>
      </c>
      <c r="F36" s="18">
        <v>3459</v>
      </c>
      <c r="G36" s="14">
        <f t="shared" si="3"/>
        <v>0.78606533680254409</v>
      </c>
    </row>
    <row r="37" spans="1:7" x14ac:dyDescent="0.35">
      <c r="A37" s="7" t="s">
        <v>59</v>
      </c>
      <c r="B37" s="7">
        <v>2917</v>
      </c>
      <c r="C37" s="7">
        <v>16</v>
      </c>
      <c r="D37" s="14">
        <f t="shared" si="2"/>
        <v>5.4850874185807339E-3</v>
      </c>
      <c r="E37" s="18">
        <v>2437</v>
      </c>
      <c r="F37" s="18">
        <v>2911</v>
      </c>
      <c r="G37" s="14">
        <f t="shared" si="3"/>
        <v>0.83716935760906908</v>
      </c>
    </row>
    <row r="38" spans="1:7" x14ac:dyDescent="0.35">
      <c r="A38" s="7" t="s">
        <v>60</v>
      </c>
      <c r="B38" s="7">
        <v>2669</v>
      </c>
      <c r="C38" s="7">
        <v>11</v>
      </c>
      <c r="D38" s="14">
        <f t="shared" si="2"/>
        <v>4.121393780442113E-3</v>
      </c>
      <c r="E38" s="18">
        <v>2225</v>
      </c>
      <c r="F38" s="18">
        <v>2667</v>
      </c>
      <c r="G38" s="14">
        <f t="shared" si="3"/>
        <v>0.83427071616047999</v>
      </c>
    </row>
    <row r="39" spans="1:7" x14ac:dyDescent="0.35">
      <c r="A39" s="7" t="s">
        <v>61</v>
      </c>
      <c r="B39" s="7">
        <v>3324</v>
      </c>
      <c r="C39" s="7">
        <v>13</v>
      </c>
      <c r="D39" s="14">
        <f t="shared" si="2"/>
        <v>3.9109506618531893E-3</v>
      </c>
      <c r="E39" s="18">
        <v>2678</v>
      </c>
      <c r="F39" s="18">
        <v>3322</v>
      </c>
      <c r="G39" s="14">
        <f t="shared" si="3"/>
        <v>0.80614087898856113</v>
      </c>
    </row>
    <row r="40" spans="1:7" x14ac:dyDescent="0.35">
      <c r="A40" s="7" t="s">
        <v>62</v>
      </c>
      <c r="B40" s="7">
        <v>2986</v>
      </c>
      <c r="C40" s="7">
        <v>17</v>
      </c>
      <c r="D40" s="14">
        <f t="shared" si="2"/>
        <v>5.6932350971198925E-3</v>
      </c>
      <c r="E40" s="18">
        <v>2483</v>
      </c>
      <c r="F40" s="18">
        <v>2985</v>
      </c>
      <c r="G40" s="14">
        <f t="shared" si="3"/>
        <v>0.83182579564489112</v>
      </c>
    </row>
    <row r="41" spans="1:7" x14ac:dyDescent="0.35">
      <c r="A41" s="7" t="s">
        <v>63</v>
      </c>
      <c r="B41" s="7">
        <v>1989</v>
      </c>
      <c r="C41" s="7">
        <v>10</v>
      </c>
      <c r="D41" s="14">
        <f t="shared" si="2"/>
        <v>5.0276520864756162E-3</v>
      </c>
      <c r="E41" s="18">
        <v>1549</v>
      </c>
      <c r="F41" s="18">
        <v>1958</v>
      </c>
      <c r="G41" s="14">
        <f t="shared" si="3"/>
        <v>0.79111338100102147</v>
      </c>
    </row>
    <row r="42" spans="1:7" x14ac:dyDescent="0.35">
      <c r="A42" s="4" t="s">
        <v>7</v>
      </c>
      <c r="B42" s="5">
        <f>SUM(B2:B41)</f>
        <v>150020</v>
      </c>
      <c r="C42" s="5">
        <f>SUM(C2:C41)</f>
        <v>727</v>
      </c>
      <c r="D42" s="6">
        <f t="shared" ref="D42" si="4">C42/B42</f>
        <v>4.8460205305959209E-3</v>
      </c>
      <c r="E42" s="5">
        <f>SUM(E2:E41)</f>
        <v>119749</v>
      </c>
      <c r="F42" s="5">
        <f>SUM(F2:F41)</f>
        <v>149757</v>
      </c>
      <c r="G42" s="16">
        <f>E42/F42</f>
        <v>0.79962205439478617</v>
      </c>
    </row>
  </sheetData>
  <pageMargins left="0.7" right="0.7" top="0.75" bottom="0.75" header="0.3" footer="0.3"/>
  <pageSetup paperSize="9" orientation="portrait" r:id="rId1"/>
  <ignoredErrors>
    <ignoredError sqref="D4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workbookViewId="0">
      <selection activeCell="C85" sqref="C85"/>
    </sheetView>
  </sheetViews>
  <sheetFormatPr defaultRowHeight="14.5" x14ac:dyDescent="0.35"/>
  <cols>
    <col min="1" max="1" width="17.54296875" customWidth="1"/>
    <col min="2" max="2" width="11.90625" customWidth="1"/>
    <col min="4" max="4" width="13.90625" bestFit="1" customWidth="1"/>
  </cols>
  <sheetData>
    <row r="1" spans="1:4" x14ac:dyDescent="0.35">
      <c r="A1" s="11" t="s">
        <v>9</v>
      </c>
      <c r="B1" s="1" t="s">
        <v>1</v>
      </c>
      <c r="C1" s="2" t="s">
        <v>2</v>
      </c>
      <c r="D1" s="2" t="s">
        <v>3</v>
      </c>
    </row>
    <row r="2" spans="1:4" x14ac:dyDescent="0.35">
      <c r="A2" s="8" t="s">
        <v>64</v>
      </c>
      <c r="B2" s="19">
        <v>27871</v>
      </c>
      <c r="C2" s="19">
        <v>131</v>
      </c>
      <c r="D2" s="10">
        <f>C2/B2</f>
        <v>4.7002260414050444E-3</v>
      </c>
    </row>
    <row r="3" spans="1:4" x14ac:dyDescent="0.35">
      <c r="A3" s="8" t="s">
        <v>65</v>
      </c>
      <c r="B3" s="19">
        <v>19247</v>
      </c>
      <c r="C3" s="19">
        <v>97</v>
      </c>
      <c r="D3" s="10">
        <f t="shared" ref="D3:D59" si="0">C3/B3</f>
        <v>5.0397464539928298E-3</v>
      </c>
    </row>
    <row r="4" spans="1:4" x14ac:dyDescent="0.35">
      <c r="A4" s="8" t="s">
        <v>66</v>
      </c>
      <c r="B4" s="19">
        <v>15628</v>
      </c>
      <c r="C4" s="19">
        <v>67</v>
      </c>
      <c r="D4" s="10">
        <f t="shared" si="0"/>
        <v>4.2871768620424879E-3</v>
      </c>
    </row>
    <row r="5" spans="1:4" x14ac:dyDescent="0.35">
      <c r="A5" s="8" t="s">
        <v>67</v>
      </c>
      <c r="B5" s="19">
        <v>11424</v>
      </c>
      <c r="C5" s="19">
        <v>62</v>
      </c>
      <c r="D5" s="10">
        <f t="shared" si="0"/>
        <v>5.4271708683473387E-3</v>
      </c>
    </row>
    <row r="6" spans="1:4" x14ac:dyDescent="0.35">
      <c r="A6" s="8" t="s">
        <v>68</v>
      </c>
      <c r="B6" s="19">
        <v>9722</v>
      </c>
      <c r="C6" s="19">
        <v>51</v>
      </c>
      <c r="D6" s="10">
        <f t="shared" si="0"/>
        <v>5.2458341904957828E-3</v>
      </c>
    </row>
    <row r="7" spans="1:4" x14ac:dyDescent="0.35">
      <c r="A7" s="8" t="s">
        <v>69</v>
      </c>
      <c r="B7" s="19">
        <v>9235</v>
      </c>
      <c r="C7" s="19">
        <v>45</v>
      </c>
      <c r="D7" s="10">
        <f t="shared" si="0"/>
        <v>4.8727666486193828E-3</v>
      </c>
    </row>
    <row r="8" spans="1:4" x14ac:dyDescent="0.35">
      <c r="A8" s="8" t="s">
        <v>70</v>
      </c>
      <c r="B8" s="19">
        <v>8083</v>
      </c>
      <c r="C8" s="19">
        <v>38</v>
      </c>
      <c r="D8" s="10">
        <f t="shared" si="0"/>
        <v>4.7012247927749598E-3</v>
      </c>
    </row>
    <row r="9" spans="1:4" x14ac:dyDescent="0.35">
      <c r="A9" s="8" t="s">
        <v>71</v>
      </c>
      <c r="B9" s="19">
        <v>7102</v>
      </c>
      <c r="C9" s="19">
        <v>41</v>
      </c>
      <c r="D9" s="10">
        <f t="shared" si="0"/>
        <v>5.773021684032667E-3</v>
      </c>
    </row>
    <row r="10" spans="1:4" x14ac:dyDescent="0.35">
      <c r="A10" s="8" t="s">
        <v>72</v>
      </c>
      <c r="B10" s="19">
        <v>6437</v>
      </c>
      <c r="C10" s="19">
        <v>33</v>
      </c>
      <c r="D10" s="10">
        <f t="shared" si="0"/>
        <v>5.126611775671897E-3</v>
      </c>
    </row>
    <row r="11" spans="1:4" x14ac:dyDescent="0.35">
      <c r="A11" s="8" t="s">
        <v>73</v>
      </c>
      <c r="B11" s="19">
        <v>5644</v>
      </c>
      <c r="C11" s="19">
        <v>25</v>
      </c>
      <c r="D11" s="10">
        <f t="shared" si="0"/>
        <v>4.429482636428065E-3</v>
      </c>
    </row>
    <row r="12" spans="1:4" x14ac:dyDescent="0.35">
      <c r="A12" s="8" t="s">
        <v>74</v>
      </c>
      <c r="B12" s="19">
        <v>5418</v>
      </c>
      <c r="C12" s="19">
        <v>23</v>
      </c>
      <c r="D12" s="10">
        <f t="shared" si="0"/>
        <v>4.2451088962716871E-3</v>
      </c>
    </row>
    <row r="13" spans="1:4" x14ac:dyDescent="0.35">
      <c r="A13" s="8" t="s">
        <v>75</v>
      </c>
      <c r="B13" s="19">
        <v>4363</v>
      </c>
      <c r="C13" s="19">
        <v>24</v>
      </c>
      <c r="D13" s="10">
        <f t="shared" si="0"/>
        <v>5.5008022003208805E-3</v>
      </c>
    </row>
    <row r="14" spans="1:4" x14ac:dyDescent="0.35">
      <c r="A14" s="8" t="s">
        <v>76</v>
      </c>
      <c r="B14" s="19">
        <v>3911</v>
      </c>
      <c r="C14" s="19">
        <v>17</v>
      </c>
      <c r="D14" s="10">
        <f t="shared" si="0"/>
        <v>4.3467143952953206E-3</v>
      </c>
    </row>
    <row r="15" spans="1:4" x14ac:dyDescent="0.35">
      <c r="A15" s="8" t="s">
        <v>81</v>
      </c>
      <c r="B15" s="19">
        <v>3102</v>
      </c>
      <c r="C15" s="19">
        <v>14</v>
      </c>
      <c r="D15" s="10">
        <f t="shared" si="0"/>
        <v>4.5132172791747258E-3</v>
      </c>
    </row>
    <row r="16" spans="1:4" x14ac:dyDescent="0.35">
      <c r="A16" s="8" t="s">
        <v>77</v>
      </c>
      <c r="B16" s="19">
        <v>2371</v>
      </c>
      <c r="C16" s="19">
        <v>12</v>
      </c>
      <c r="D16" s="10">
        <f t="shared" si="0"/>
        <v>5.0611556305356388E-3</v>
      </c>
    </row>
    <row r="17" spans="1:4" x14ac:dyDescent="0.35">
      <c r="A17" s="8" t="s">
        <v>84</v>
      </c>
      <c r="B17" s="19">
        <v>1874</v>
      </c>
      <c r="C17" s="19">
        <v>9</v>
      </c>
      <c r="D17" s="10">
        <f t="shared" si="0"/>
        <v>4.8025613660618999E-3</v>
      </c>
    </row>
    <row r="18" spans="1:4" x14ac:dyDescent="0.35">
      <c r="A18" s="20" t="s">
        <v>110</v>
      </c>
      <c r="B18" s="19">
        <v>1534</v>
      </c>
      <c r="C18" s="19">
        <v>7</v>
      </c>
      <c r="D18" s="10">
        <f t="shared" si="0"/>
        <v>4.5632333767926985E-3</v>
      </c>
    </row>
    <row r="19" spans="1:4" x14ac:dyDescent="0.35">
      <c r="A19" s="8" t="s">
        <v>78</v>
      </c>
      <c r="B19" s="19">
        <v>1051</v>
      </c>
      <c r="C19" s="19">
        <v>6</v>
      </c>
      <c r="D19" s="10">
        <f t="shared" si="0"/>
        <v>5.708848715509039E-3</v>
      </c>
    </row>
    <row r="20" spans="1:4" x14ac:dyDescent="0.35">
      <c r="A20" s="9" t="s">
        <v>121</v>
      </c>
      <c r="B20" s="19">
        <v>954</v>
      </c>
      <c r="C20" s="19">
        <v>5</v>
      </c>
      <c r="D20" s="10">
        <f t="shared" si="0"/>
        <v>5.2410901467505244E-3</v>
      </c>
    </row>
    <row r="21" spans="1:4" x14ac:dyDescent="0.35">
      <c r="A21" s="8" t="s">
        <v>79</v>
      </c>
      <c r="B21" s="19">
        <v>863</v>
      </c>
      <c r="C21" s="19">
        <v>4</v>
      </c>
      <c r="D21" s="10">
        <f t="shared" si="0"/>
        <v>4.6349942062572421E-3</v>
      </c>
    </row>
    <row r="22" spans="1:4" x14ac:dyDescent="0.35">
      <c r="A22" s="20" t="s">
        <v>117</v>
      </c>
      <c r="B22" s="19">
        <v>785</v>
      </c>
      <c r="C22" s="19">
        <v>5</v>
      </c>
      <c r="D22" s="10">
        <f t="shared" si="0"/>
        <v>6.369426751592357E-3</v>
      </c>
    </row>
    <row r="23" spans="1:4" x14ac:dyDescent="0.35">
      <c r="A23" s="8" t="s">
        <v>80</v>
      </c>
      <c r="B23" s="19">
        <v>654</v>
      </c>
      <c r="C23" s="19">
        <v>2</v>
      </c>
      <c r="D23" s="10">
        <f t="shared" si="0"/>
        <v>3.0581039755351682E-3</v>
      </c>
    </row>
    <row r="24" spans="1:4" x14ac:dyDescent="0.35">
      <c r="A24" s="8" t="s">
        <v>82</v>
      </c>
      <c r="B24" s="19">
        <v>534</v>
      </c>
      <c r="C24" s="19">
        <v>3</v>
      </c>
      <c r="D24" s="10">
        <f t="shared" si="0"/>
        <v>5.6179775280898875E-3</v>
      </c>
    </row>
    <row r="25" spans="1:4" x14ac:dyDescent="0.35">
      <c r="A25" s="8" t="s">
        <v>83</v>
      </c>
      <c r="B25" s="19">
        <v>484</v>
      </c>
      <c r="C25" s="19">
        <v>2</v>
      </c>
      <c r="D25" s="10">
        <f t="shared" si="0"/>
        <v>4.1322314049586778E-3</v>
      </c>
    </row>
    <row r="26" spans="1:4" x14ac:dyDescent="0.35">
      <c r="A26" s="8" t="s">
        <v>85</v>
      </c>
      <c r="B26" s="19">
        <v>372</v>
      </c>
      <c r="C26" s="19">
        <v>2</v>
      </c>
      <c r="D26" s="10">
        <f t="shared" si="0"/>
        <v>5.3763440860215058E-3</v>
      </c>
    </row>
    <row r="27" spans="1:4" x14ac:dyDescent="0.35">
      <c r="A27" s="8" t="s">
        <v>86</v>
      </c>
      <c r="B27" s="19">
        <v>253</v>
      </c>
      <c r="C27" s="19">
        <v>1</v>
      </c>
      <c r="D27" s="10">
        <f t="shared" si="0"/>
        <v>3.952569169960474E-3</v>
      </c>
    </row>
    <row r="28" spans="1:4" x14ac:dyDescent="0.35">
      <c r="A28" s="8" t="s">
        <v>87</v>
      </c>
      <c r="B28" s="19">
        <v>215</v>
      </c>
      <c r="C28" s="19">
        <v>0</v>
      </c>
      <c r="D28" s="10">
        <f t="shared" si="0"/>
        <v>0</v>
      </c>
    </row>
    <row r="29" spans="1:4" x14ac:dyDescent="0.35">
      <c r="A29" s="8" t="s">
        <v>88</v>
      </c>
      <c r="B29" s="19">
        <v>192</v>
      </c>
      <c r="C29" s="19">
        <v>1</v>
      </c>
      <c r="D29" s="10">
        <f t="shared" si="0"/>
        <v>5.208333333333333E-3</v>
      </c>
    </row>
    <row r="30" spans="1:4" x14ac:dyDescent="0.35">
      <c r="A30" s="8" t="s">
        <v>89</v>
      </c>
      <c r="B30" s="19">
        <v>91</v>
      </c>
      <c r="C30" s="19">
        <v>0</v>
      </c>
      <c r="D30" s="10">
        <f t="shared" si="0"/>
        <v>0</v>
      </c>
    </row>
    <row r="31" spans="1:4" x14ac:dyDescent="0.35">
      <c r="A31" s="8" t="s">
        <v>90</v>
      </c>
      <c r="B31" s="19">
        <v>89</v>
      </c>
      <c r="C31" s="19">
        <v>0</v>
      </c>
      <c r="D31" s="10">
        <f t="shared" si="0"/>
        <v>0</v>
      </c>
    </row>
    <row r="32" spans="1:4" x14ac:dyDescent="0.35">
      <c r="A32" s="8" t="s">
        <v>91</v>
      </c>
      <c r="B32" s="19">
        <v>74</v>
      </c>
      <c r="C32" s="19">
        <v>0</v>
      </c>
      <c r="D32" s="10">
        <f t="shared" si="0"/>
        <v>0</v>
      </c>
    </row>
    <row r="33" spans="1:4" x14ac:dyDescent="0.35">
      <c r="A33" s="8" t="s">
        <v>92</v>
      </c>
      <c r="B33" s="19">
        <v>68</v>
      </c>
      <c r="C33" s="19">
        <v>0</v>
      </c>
      <c r="D33" s="10">
        <f t="shared" si="0"/>
        <v>0</v>
      </c>
    </row>
    <row r="34" spans="1:4" x14ac:dyDescent="0.35">
      <c r="A34" s="8" t="s">
        <v>93</v>
      </c>
      <c r="B34" s="9">
        <v>57</v>
      </c>
      <c r="C34" s="19">
        <v>0</v>
      </c>
      <c r="D34" s="10">
        <f t="shared" si="0"/>
        <v>0</v>
      </c>
    </row>
    <row r="35" spans="1:4" x14ac:dyDescent="0.35">
      <c r="A35" s="8" t="s">
        <v>94</v>
      </c>
      <c r="B35" s="9">
        <v>44</v>
      </c>
      <c r="C35" s="19">
        <v>0</v>
      </c>
      <c r="D35" s="10">
        <f t="shared" si="0"/>
        <v>0</v>
      </c>
    </row>
    <row r="36" spans="1:4" x14ac:dyDescent="0.35">
      <c r="A36" s="8" t="s">
        <v>95</v>
      </c>
      <c r="B36" s="9">
        <v>31</v>
      </c>
      <c r="C36" s="19">
        <v>0</v>
      </c>
      <c r="D36" s="10">
        <f t="shared" si="0"/>
        <v>0</v>
      </c>
    </row>
    <row r="37" spans="1:4" x14ac:dyDescent="0.35">
      <c r="A37" s="8" t="s">
        <v>96</v>
      </c>
      <c r="B37" s="19">
        <v>20</v>
      </c>
      <c r="C37" s="19">
        <v>0</v>
      </c>
      <c r="D37" s="10">
        <f t="shared" si="0"/>
        <v>0</v>
      </c>
    </row>
    <row r="38" spans="1:4" x14ac:dyDescent="0.35">
      <c r="A38" s="8" t="s">
        <v>97</v>
      </c>
      <c r="B38" s="19">
        <v>19</v>
      </c>
      <c r="C38" s="19">
        <v>0</v>
      </c>
      <c r="D38" s="10">
        <f t="shared" si="0"/>
        <v>0</v>
      </c>
    </row>
    <row r="39" spans="1:4" x14ac:dyDescent="0.35">
      <c r="A39" s="8" t="s">
        <v>98</v>
      </c>
      <c r="B39" s="19">
        <v>18</v>
      </c>
      <c r="C39" s="19">
        <v>0</v>
      </c>
      <c r="D39" s="10">
        <f t="shared" si="0"/>
        <v>0</v>
      </c>
    </row>
    <row r="40" spans="1:4" x14ac:dyDescent="0.35">
      <c r="A40" s="8" t="s">
        <v>99</v>
      </c>
      <c r="B40" s="19">
        <v>18</v>
      </c>
      <c r="C40" s="19">
        <v>0</v>
      </c>
      <c r="D40" s="10">
        <f t="shared" si="0"/>
        <v>0</v>
      </c>
    </row>
    <row r="41" spans="1:4" x14ac:dyDescent="0.35">
      <c r="A41" s="8" t="s">
        <v>100</v>
      </c>
      <c r="B41" s="19">
        <v>17</v>
      </c>
      <c r="C41" s="19">
        <v>0</v>
      </c>
      <c r="D41" s="10">
        <f t="shared" si="0"/>
        <v>0</v>
      </c>
    </row>
    <row r="42" spans="1:4" x14ac:dyDescent="0.35">
      <c r="A42" s="8" t="s">
        <v>101</v>
      </c>
      <c r="B42" s="19">
        <v>16</v>
      </c>
      <c r="C42" s="19">
        <v>0</v>
      </c>
      <c r="D42" s="10">
        <f t="shared" si="0"/>
        <v>0</v>
      </c>
    </row>
    <row r="43" spans="1:4" x14ac:dyDescent="0.35">
      <c r="A43" s="8" t="s">
        <v>102</v>
      </c>
      <c r="B43" s="19">
        <v>15</v>
      </c>
      <c r="C43" s="19">
        <v>0</v>
      </c>
      <c r="D43" s="10">
        <f t="shared" si="0"/>
        <v>0</v>
      </c>
    </row>
    <row r="44" spans="1:4" x14ac:dyDescent="0.35">
      <c r="A44" s="8" t="s">
        <v>103</v>
      </c>
      <c r="B44" s="19">
        <v>15</v>
      </c>
      <c r="C44" s="19">
        <v>0</v>
      </c>
      <c r="D44" s="10">
        <f t="shared" si="0"/>
        <v>0</v>
      </c>
    </row>
    <row r="45" spans="1:4" x14ac:dyDescent="0.35">
      <c r="A45" s="8" t="s">
        <v>104</v>
      </c>
      <c r="B45" s="19">
        <v>14</v>
      </c>
      <c r="C45" s="19">
        <v>0</v>
      </c>
      <c r="D45" s="10">
        <f t="shared" si="0"/>
        <v>0</v>
      </c>
    </row>
    <row r="46" spans="1:4" x14ac:dyDescent="0.35">
      <c r="A46" s="8" t="s">
        <v>105</v>
      </c>
      <c r="B46" s="19">
        <v>13</v>
      </c>
      <c r="C46" s="9">
        <v>0</v>
      </c>
      <c r="D46" s="10">
        <f t="shared" si="0"/>
        <v>0</v>
      </c>
    </row>
    <row r="47" spans="1:4" x14ac:dyDescent="0.35">
      <c r="A47" s="8" t="s">
        <v>106</v>
      </c>
      <c r="B47" s="19">
        <v>12</v>
      </c>
      <c r="C47" s="9">
        <v>0</v>
      </c>
      <c r="D47" s="10">
        <f t="shared" si="0"/>
        <v>0</v>
      </c>
    </row>
    <row r="48" spans="1:4" x14ac:dyDescent="0.35">
      <c r="A48" s="8" t="s">
        <v>107</v>
      </c>
      <c r="B48" s="9">
        <v>11</v>
      </c>
      <c r="C48" s="9">
        <v>0</v>
      </c>
      <c r="D48" s="10">
        <f t="shared" si="0"/>
        <v>0</v>
      </c>
    </row>
    <row r="49" spans="1:4" x14ac:dyDescent="0.35">
      <c r="A49" s="20" t="s">
        <v>108</v>
      </c>
      <c r="B49" s="9">
        <v>10</v>
      </c>
      <c r="C49" s="9">
        <v>0</v>
      </c>
      <c r="D49" s="10">
        <f t="shared" si="0"/>
        <v>0</v>
      </c>
    </row>
    <row r="50" spans="1:4" x14ac:dyDescent="0.35">
      <c r="A50" s="20" t="s">
        <v>109</v>
      </c>
      <c r="B50" s="9">
        <v>9</v>
      </c>
      <c r="C50" s="9">
        <v>0</v>
      </c>
      <c r="D50" s="10">
        <f t="shared" si="0"/>
        <v>0</v>
      </c>
    </row>
    <row r="51" spans="1:4" x14ac:dyDescent="0.35">
      <c r="A51" s="20" t="s">
        <v>111</v>
      </c>
      <c r="B51" s="9">
        <v>8</v>
      </c>
      <c r="C51" s="9">
        <v>0</v>
      </c>
      <c r="D51" s="10">
        <f t="shared" si="0"/>
        <v>0</v>
      </c>
    </row>
    <row r="52" spans="1:4" x14ac:dyDescent="0.35">
      <c r="A52" s="20" t="s">
        <v>112</v>
      </c>
      <c r="B52" s="9">
        <v>7</v>
      </c>
      <c r="C52" s="9">
        <v>0</v>
      </c>
      <c r="D52" s="10">
        <f t="shared" si="0"/>
        <v>0</v>
      </c>
    </row>
    <row r="53" spans="1:4" x14ac:dyDescent="0.35">
      <c r="A53" s="20" t="s">
        <v>113</v>
      </c>
      <c r="B53" s="9">
        <v>5</v>
      </c>
      <c r="C53" s="9">
        <v>0</v>
      </c>
      <c r="D53" s="10">
        <f t="shared" si="0"/>
        <v>0</v>
      </c>
    </row>
    <row r="54" spans="1:4" x14ac:dyDescent="0.35">
      <c r="A54" s="20" t="s">
        <v>114</v>
      </c>
      <c r="B54" s="9">
        <v>5</v>
      </c>
      <c r="C54" s="9">
        <v>0</v>
      </c>
      <c r="D54" s="10">
        <f t="shared" si="0"/>
        <v>0</v>
      </c>
    </row>
    <row r="55" spans="1:4" x14ac:dyDescent="0.35">
      <c r="A55" s="20" t="s">
        <v>116</v>
      </c>
      <c r="B55" s="9">
        <v>4</v>
      </c>
      <c r="C55" s="9">
        <v>0</v>
      </c>
      <c r="D55" s="10">
        <f t="shared" si="0"/>
        <v>0</v>
      </c>
    </row>
    <row r="56" spans="1:4" x14ac:dyDescent="0.35">
      <c r="A56" s="12" t="s">
        <v>115</v>
      </c>
      <c r="B56" s="9">
        <v>3</v>
      </c>
      <c r="C56" s="9">
        <v>0</v>
      </c>
      <c r="D56" s="10">
        <f t="shared" si="0"/>
        <v>0</v>
      </c>
    </row>
    <row r="57" spans="1:4" x14ac:dyDescent="0.35">
      <c r="A57" s="9" t="s">
        <v>118</v>
      </c>
      <c r="B57" s="9">
        <v>2</v>
      </c>
      <c r="C57" s="9">
        <v>0</v>
      </c>
      <c r="D57" s="10">
        <f t="shared" si="0"/>
        <v>0</v>
      </c>
    </row>
    <row r="58" spans="1:4" x14ac:dyDescent="0.35">
      <c r="A58" s="9" t="s">
        <v>119</v>
      </c>
      <c r="B58" s="9">
        <v>1</v>
      </c>
      <c r="C58" s="9">
        <v>0</v>
      </c>
      <c r="D58" s="10">
        <f t="shared" si="0"/>
        <v>0</v>
      </c>
    </row>
    <row r="59" spans="1:4" x14ac:dyDescent="0.35">
      <c r="A59" s="9" t="s">
        <v>120</v>
      </c>
      <c r="B59" s="9">
        <v>1</v>
      </c>
      <c r="C59" s="9">
        <v>0</v>
      </c>
      <c r="D59" s="10">
        <f t="shared" si="0"/>
        <v>0</v>
      </c>
    </row>
    <row r="60" spans="1:4" x14ac:dyDescent="0.35">
      <c r="A60" s="4" t="s">
        <v>7</v>
      </c>
      <c r="B60" s="5">
        <f>SUM(B2:B59)</f>
        <v>150020</v>
      </c>
      <c r="C60" s="5">
        <f>SUM(C2:C59)</f>
        <v>727</v>
      </c>
      <c r="D60" s="6">
        <f>C60/B60</f>
        <v>4.8460205305959209E-3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C41" sqref="C41"/>
    </sheetView>
  </sheetViews>
  <sheetFormatPr defaultRowHeight="14.5" x14ac:dyDescent="0.35"/>
  <cols>
    <col min="1" max="1" width="16.453125" customWidth="1"/>
    <col min="2" max="2" width="12.36328125" customWidth="1"/>
    <col min="3" max="3" width="9.90625" customWidth="1"/>
    <col min="4" max="4" width="14.81640625" customWidth="1"/>
  </cols>
  <sheetData>
    <row r="1" spans="1:4" x14ac:dyDescent="0.35">
      <c r="A1" s="11" t="s">
        <v>8</v>
      </c>
      <c r="B1" s="1" t="s">
        <v>1</v>
      </c>
      <c r="C1" s="2" t="s">
        <v>2</v>
      </c>
      <c r="D1" s="2" t="s">
        <v>3</v>
      </c>
    </row>
    <row r="2" spans="1:4" x14ac:dyDescent="0.35">
      <c r="A2" s="8">
        <v>0</v>
      </c>
      <c r="B2" s="9">
        <v>2464</v>
      </c>
      <c r="C2" s="9">
        <v>12</v>
      </c>
      <c r="D2" s="10">
        <f t="shared" ref="D2:D26" si="0">C2/B2</f>
        <v>4.87012987012987E-3</v>
      </c>
    </row>
    <row r="3" spans="1:4" x14ac:dyDescent="0.35">
      <c r="A3" s="8">
        <v>1</v>
      </c>
      <c r="B3" s="9">
        <v>1525</v>
      </c>
      <c r="C3" s="9">
        <v>8</v>
      </c>
      <c r="D3" s="10">
        <f t="shared" si="0"/>
        <v>5.2459016393442623E-3</v>
      </c>
    </row>
    <row r="4" spans="1:4" x14ac:dyDescent="0.35">
      <c r="A4" s="8">
        <v>2</v>
      </c>
      <c r="B4" s="9">
        <v>3109</v>
      </c>
      <c r="C4" s="9">
        <v>16</v>
      </c>
      <c r="D4" s="10">
        <f t="shared" si="0"/>
        <v>5.1463493084593116E-3</v>
      </c>
    </row>
    <row r="5" spans="1:4" x14ac:dyDescent="0.35">
      <c r="A5" s="8">
        <v>3</v>
      </c>
      <c r="B5" s="9">
        <v>5603</v>
      </c>
      <c r="C5" s="9">
        <v>27</v>
      </c>
      <c r="D5" s="10">
        <f t="shared" si="0"/>
        <v>4.8188470462252365E-3</v>
      </c>
    </row>
    <row r="6" spans="1:4" x14ac:dyDescent="0.35">
      <c r="A6" s="8">
        <v>4</v>
      </c>
      <c r="B6" s="9">
        <v>3794</v>
      </c>
      <c r="C6" s="9">
        <v>19</v>
      </c>
      <c r="D6" s="10">
        <f t="shared" si="0"/>
        <v>5.0079072219293619E-3</v>
      </c>
    </row>
    <row r="7" spans="1:4" x14ac:dyDescent="0.35">
      <c r="A7" s="8">
        <v>5</v>
      </c>
      <c r="B7" s="9">
        <v>7846</v>
      </c>
      <c r="C7" s="9">
        <v>37</v>
      </c>
      <c r="D7" s="10">
        <f t="shared" si="0"/>
        <v>4.7157787407596224E-3</v>
      </c>
    </row>
    <row r="8" spans="1:4" x14ac:dyDescent="0.35">
      <c r="A8" s="8">
        <v>6</v>
      </c>
      <c r="B8" s="13">
        <v>3529</v>
      </c>
      <c r="C8" s="13">
        <v>15</v>
      </c>
      <c r="D8" s="17">
        <f t="shared" si="0"/>
        <v>4.2504958911873053E-3</v>
      </c>
    </row>
    <row r="9" spans="1:4" x14ac:dyDescent="0.35">
      <c r="A9" s="8">
        <v>7</v>
      </c>
      <c r="B9" s="13">
        <v>8808</v>
      </c>
      <c r="C9" s="13">
        <v>43</v>
      </c>
      <c r="D9" s="17">
        <f t="shared" si="0"/>
        <v>4.8819255222524978E-3</v>
      </c>
    </row>
    <row r="10" spans="1:4" x14ac:dyDescent="0.35">
      <c r="A10" s="8">
        <v>8</v>
      </c>
      <c r="B10" s="13">
        <v>5649</v>
      </c>
      <c r="C10" s="13">
        <v>29</v>
      </c>
      <c r="D10" s="17">
        <f t="shared" si="0"/>
        <v>5.1336519738006724E-3</v>
      </c>
    </row>
    <row r="11" spans="1:4" x14ac:dyDescent="0.35">
      <c r="A11" s="8">
        <v>9</v>
      </c>
      <c r="B11" s="13">
        <v>8381</v>
      </c>
      <c r="C11" s="13">
        <v>42</v>
      </c>
      <c r="D11" s="17">
        <f t="shared" si="0"/>
        <v>5.0113351628683928E-3</v>
      </c>
    </row>
    <row r="12" spans="1:4" x14ac:dyDescent="0.35">
      <c r="A12" s="8">
        <v>10</v>
      </c>
      <c r="B12" s="13">
        <v>7342</v>
      </c>
      <c r="C12" s="13">
        <v>38</v>
      </c>
      <c r="D12" s="17">
        <f t="shared" si="0"/>
        <v>5.1757014437482972E-3</v>
      </c>
    </row>
    <row r="13" spans="1:4" x14ac:dyDescent="0.35">
      <c r="A13" s="8">
        <v>11</v>
      </c>
      <c r="B13" s="13">
        <v>9103</v>
      </c>
      <c r="C13" s="13">
        <v>41</v>
      </c>
      <c r="D13" s="17">
        <f t="shared" si="0"/>
        <v>4.5040096671427002E-3</v>
      </c>
    </row>
    <row r="14" spans="1:4" x14ac:dyDescent="0.35">
      <c r="A14" s="8">
        <v>12</v>
      </c>
      <c r="B14" s="13">
        <v>10543</v>
      </c>
      <c r="C14" s="13">
        <v>51</v>
      </c>
      <c r="D14" s="17">
        <f t="shared" si="0"/>
        <v>4.8373328274684624E-3</v>
      </c>
    </row>
    <row r="15" spans="1:4" x14ac:dyDescent="0.35">
      <c r="A15" s="8">
        <v>13</v>
      </c>
      <c r="B15" s="13">
        <v>14051</v>
      </c>
      <c r="C15" s="13">
        <v>72</v>
      </c>
      <c r="D15" s="17">
        <f t="shared" si="0"/>
        <v>5.1241904490783577E-3</v>
      </c>
    </row>
    <row r="16" spans="1:4" x14ac:dyDescent="0.35">
      <c r="A16" s="8">
        <v>14</v>
      </c>
      <c r="B16" s="13">
        <v>9026</v>
      </c>
      <c r="C16" s="13">
        <v>48</v>
      </c>
      <c r="D16" s="17">
        <f t="shared" si="0"/>
        <v>5.317970307999114E-3</v>
      </c>
    </row>
    <row r="17" spans="1:4" x14ac:dyDescent="0.35">
      <c r="A17" s="8">
        <v>15</v>
      </c>
      <c r="B17" s="13">
        <v>12137</v>
      </c>
      <c r="C17" s="13">
        <v>59</v>
      </c>
      <c r="D17" s="17">
        <f t="shared" si="0"/>
        <v>4.8611683282524512E-3</v>
      </c>
    </row>
    <row r="18" spans="1:4" x14ac:dyDescent="0.35">
      <c r="A18" s="8">
        <v>16</v>
      </c>
      <c r="B18" s="13">
        <v>4918</v>
      </c>
      <c r="C18" s="13">
        <v>21</v>
      </c>
      <c r="D18" s="17">
        <f t="shared" si="0"/>
        <v>4.2700284668564454E-3</v>
      </c>
    </row>
    <row r="19" spans="1:4" x14ac:dyDescent="0.35">
      <c r="A19" s="8">
        <v>17</v>
      </c>
      <c r="B19" s="13">
        <v>8335</v>
      </c>
      <c r="C19" s="13">
        <v>39</v>
      </c>
      <c r="D19" s="17">
        <f t="shared" si="0"/>
        <v>4.6790641871625677E-3</v>
      </c>
    </row>
    <row r="20" spans="1:4" x14ac:dyDescent="0.35">
      <c r="A20" s="8">
        <v>18</v>
      </c>
      <c r="B20" s="13">
        <v>5473</v>
      </c>
      <c r="C20" s="13">
        <v>28</v>
      </c>
      <c r="D20" s="17">
        <f t="shared" si="0"/>
        <v>5.1160241183994155E-3</v>
      </c>
    </row>
    <row r="21" spans="1:4" x14ac:dyDescent="0.35">
      <c r="A21" s="8">
        <v>19</v>
      </c>
      <c r="B21" s="13">
        <v>3136</v>
      </c>
      <c r="C21" s="13">
        <v>14</v>
      </c>
      <c r="D21" s="17">
        <f t="shared" si="0"/>
        <v>4.464285714285714E-3</v>
      </c>
    </row>
    <row r="22" spans="1:4" x14ac:dyDescent="0.35">
      <c r="A22" s="8">
        <v>20</v>
      </c>
      <c r="B22" s="13">
        <v>7972</v>
      </c>
      <c r="C22" s="13">
        <v>33</v>
      </c>
      <c r="D22" s="17">
        <f t="shared" si="0"/>
        <v>4.1394882087305573E-3</v>
      </c>
    </row>
    <row r="23" spans="1:4" x14ac:dyDescent="0.35">
      <c r="A23" s="8">
        <v>21</v>
      </c>
      <c r="B23" s="9">
        <v>3534</v>
      </c>
      <c r="C23" s="9">
        <v>17</v>
      </c>
      <c r="D23" s="10">
        <f t="shared" si="0"/>
        <v>4.8104131295981893E-3</v>
      </c>
    </row>
    <row r="24" spans="1:4" x14ac:dyDescent="0.35">
      <c r="A24" s="8">
        <v>22</v>
      </c>
      <c r="B24" s="9">
        <v>2419</v>
      </c>
      <c r="C24" s="9">
        <v>11</v>
      </c>
      <c r="D24" s="10">
        <f t="shared" si="0"/>
        <v>4.5473336089293095E-3</v>
      </c>
    </row>
    <row r="25" spans="1:4" x14ac:dyDescent="0.35">
      <c r="A25" s="8">
        <v>23</v>
      </c>
      <c r="B25" s="9">
        <v>1323</v>
      </c>
      <c r="C25" s="9">
        <v>7</v>
      </c>
      <c r="D25" s="10">
        <f t="shared" si="0"/>
        <v>5.2910052910052907E-3</v>
      </c>
    </row>
    <row r="26" spans="1:4" x14ac:dyDescent="0.35">
      <c r="A26" s="4" t="s">
        <v>7</v>
      </c>
      <c r="B26" s="5">
        <f>SUM(B2:B25)</f>
        <v>150020</v>
      </c>
      <c r="C26" s="5">
        <f>SUM(C2:C25)</f>
        <v>727</v>
      </c>
      <c r="D26" s="6">
        <f t="shared" si="0"/>
        <v>4.8460205305959209E-3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C29" sqref="C29"/>
    </sheetView>
  </sheetViews>
  <sheetFormatPr defaultRowHeight="14.5" x14ac:dyDescent="0.35"/>
  <cols>
    <col min="1" max="1" width="25.6328125" customWidth="1"/>
    <col min="2" max="2" width="12.6328125" customWidth="1"/>
    <col min="4" max="4" width="13.90625" bestFit="1" customWidth="1"/>
  </cols>
  <sheetData>
    <row r="1" spans="1:4" x14ac:dyDescent="0.35">
      <c r="A1" s="11" t="s">
        <v>10</v>
      </c>
      <c r="B1" s="1" t="s">
        <v>1</v>
      </c>
      <c r="C1" s="2" t="s">
        <v>2</v>
      </c>
      <c r="D1" s="2" t="s">
        <v>3</v>
      </c>
    </row>
    <row r="2" spans="1:4" x14ac:dyDescent="0.35">
      <c r="A2" s="8" t="s">
        <v>122</v>
      </c>
      <c r="B2" s="19">
        <v>8025</v>
      </c>
      <c r="C2" s="19">
        <v>38</v>
      </c>
      <c r="D2" s="10">
        <f>C2/B2</f>
        <v>4.7352024922118381E-3</v>
      </c>
    </row>
    <row r="3" spans="1:4" x14ac:dyDescent="0.35">
      <c r="A3" s="8" t="s">
        <v>123</v>
      </c>
      <c r="B3" s="19">
        <v>13465</v>
      </c>
      <c r="C3" s="19">
        <v>72</v>
      </c>
      <c r="D3" s="10">
        <f t="shared" ref="D3:D21" si="0">C3/B3</f>
        <v>5.3471964352023761E-3</v>
      </c>
    </row>
    <row r="4" spans="1:4" x14ac:dyDescent="0.35">
      <c r="A4" s="8" t="s">
        <v>124</v>
      </c>
      <c r="B4" s="19">
        <v>1481</v>
      </c>
      <c r="C4" s="19">
        <v>6</v>
      </c>
      <c r="D4" s="10">
        <f t="shared" si="0"/>
        <v>4.0513166779203242E-3</v>
      </c>
    </row>
    <row r="5" spans="1:4" x14ac:dyDescent="0.35">
      <c r="A5" s="8" t="s">
        <v>125</v>
      </c>
      <c r="B5" s="19">
        <v>15121</v>
      </c>
      <c r="C5" s="19">
        <v>74</v>
      </c>
      <c r="D5" s="10">
        <f t="shared" si="0"/>
        <v>4.8938562264400501E-3</v>
      </c>
    </row>
    <row r="6" spans="1:4" x14ac:dyDescent="0.35">
      <c r="A6" s="8" t="s">
        <v>126</v>
      </c>
      <c r="B6" s="19">
        <v>152</v>
      </c>
      <c r="C6" s="19">
        <v>0</v>
      </c>
      <c r="D6" s="10">
        <f t="shared" si="0"/>
        <v>0</v>
      </c>
    </row>
    <row r="7" spans="1:4" x14ac:dyDescent="0.35">
      <c r="A7" s="8" t="s">
        <v>127</v>
      </c>
      <c r="B7" s="19">
        <v>46328</v>
      </c>
      <c r="C7" s="19">
        <v>227</v>
      </c>
      <c r="D7" s="10">
        <f t="shared" si="0"/>
        <v>4.8998445864272145E-3</v>
      </c>
    </row>
    <row r="8" spans="1:4" x14ac:dyDescent="0.35">
      <c r="A8" s="8" t="s">
        <v>128</v>
      </c>
      <c r="B8" s="19">
        <v>569</v>
      </c>
      <c r="C8" s="19">
        <v>3</v>
      </c>
      <c r="D8" s="10">
        <f t="shared" si="0"/>
        <v>5.272407732864675E-3</v>
      </c>
    </row>
    <row r="9" spans="1:4" x14ac:dyDescent="0.35">
      <c r="A9" s="8" t="s">
        <v>129</v>
      </c>
      <c r="B9" s="19">
        <v>4508</v>
      </c>
      <c r="C9" s="19">
        <v>22</v>
      </c>
      <c r="D9" s="10">
        <f t="shared" si="0"/>
        <v>4.8802129547471165E-3</v>
      </c>
    </row>
    <row r="10" spans="1:4" x14ac:dyDescent="0.35">
      <c r="A10" s="8" t="s">
        <v>130</v>
      </c>
      <c r="B10" s="19">
        <v>2304</v>
      </c>
      <c r="C10" s="19">
        <v>13</v>
      </c>
      <c r="D10" s="10">
        <f t="shared" si="0"/>
        <v>5.642361111111111E-3</v>
      </c>
    </row>
    <row r="11" spans="1:4" x14ac:dyDescent="0.35">
      <c r="A11" s="8" t="s">
        <v>131</v>
      </c>
      <c r="B11" s="19">
        <v>12542</v>
      </c>
      <c r="C11" s="19">
        <v>55</v>
      </c>
      <c r="D11" s="10">
        <f t="shared" si="0"/>
        <v>4.3852655078934783E-3</v>
      </c>
    </row>
    <row r="12" spans="1:4" x14ac:dyDescent="0.35">
      <c r="A12" s="8" t="s">
        <v>132</v>
      </c>
      <c r="B12" s="19">
        <v>751</v>
      </c>
      <c r="C12" s="19">
        <v>4</v>
      </c>
      <c r="D12" s="10">
        <f t="shared" si="0"/>
        <v>5.3262316910785623E-3</v>
      </c>
    </row>
    <row r="13" spans="1:4" x14ac:dyDescent="0.35">
      <c r="A13" s="8" t="s">
        <v>133</v>
      </c>
      <c r="B13" s="19">
        <v>1115</v>
      </c>
      <c r="C13" s="19">
        <v>5</v>
      </c>
      <c r="D13" s="10">
        <f t="shared" si="0"/>
        <v>4.4843049327354259E-3</v>
      </c>
    </row>
    <row r="14" spans="1:4" x14ac:dyDescent="0.35">
      <c r="A14" s="8" t="s">
        <v>134</v>
      </c>
      <c r="B14" s="19">
        <v>7365</v>
      </c>
      <c r="C14" s="19">
        <v>31</v>
      </c>
      <c r="D14" s="10">
        <f t="shared" si="0"/>
        <v>4.2090970807875088E-3</v>
      </c>
    </row>
    <row r="15" spans="1:4" x14ac:dyDescent="0.35">
      <c r="A15" s="8" t="s">
        <v>135</v>
      </c>
      <c r="B15" s="19">
        <v>16871</v>
      </c>
      <c r="C15" s="19">
        <v>77</v>
      </c>
      <c r="D15" s="10">
        <f t="shared" si="0"/>
        <v>4.5640448106217769E-3</v>
      </c>
    </row>
    <row r="16" spans="1:4" x14ac:dyDescent="0.35">
      <c r="A16" s="8" t="s">
        <v>136</v>
      </c>
      <c r="B16" s="19">
        <v>11387</v>
      </c>
      <c r="C16" s="19">
        <v>62</v>
      </c>
      <c r="D16" s="10">
        <f t="shared" si="0"/>
        <v>5.4448054799332568E-3</v>
      </c>
    </row>
    <row r="17" spans="1:4" x14ac:dyDescent="0.35">
      <c r="A17" s="8" t="s">
        <v>137</v>
      </c>
      <c r="B17" s="19">
        <v>5</v>
      </c>
      <c r="C17" s="19">
        <v>0</v>
      </c>
      <c r="D17" s="10">
        <f t="shared" si="0"/>
        <v>0</v>
      </c>
    </row>
    <row r="18" spans="1:4" x14ac:dyDescent="0.35">
      <c r="A18" s="8" t="s">
        <v>138</v>
      </c>
      <c r="B18" s="19">
        <v>5983</v>
      </c>
      <c r="C18" s="19">
        <v>27</v>
      </c>
      <c r="D18" s="10">
        <f t="shared" si="0"/>
        <v>4.5127862276449944E-3</v>
      </c>
    </row>
    <row r="19" spans="1:4" x14ac:dyDescent="0.35">
      <c r="A19" s="8" t="s">
        <v>139</v>
      </c>
      <c r="B19" s="19">
        <v>1995</v>
      </c>
      <c r="C19" s="19">
        <v>11</v>
      </c>
      <c r="D19" s="10">
        <f t="shared" si="0"/>
        <v>5.5137844611528822E-3</v>
      </c>
    </row>
    <row r="20" spans="1:4" x14ac:dyDescent="0.35">
      <c r="A20" s="8" t="s">
        <v>140</v>
      </c>
      <c r="B20" s="19">
        <v>47</v>
      </c>
      <c r="C20" s="19">
        <v>0</v>
      </c>
      <c r="D20" s="10">
        <f t="shared" si="0"/>
        <v>0</v>
      </c>
    </row>
    <row r="21" spans="1:4" x14ac:dyDescent="0.35">
      <c r="A21" s="8" t="s">
        <v>141</v>
      </c>
      <c r="B21" s="19">
        <v>6</v>
      </c>
      <c r="C21" s="19">
        <v>0</v>
      </c>
      <c r="D21" s="10">
        <f t="shared" si="0"/>
        <v>0</v>
      </c>
    </row>
    <row r="22" spans="1:4" x14ac:dyDescent="0.35">
      <c r="A22" s="4" t="s">
        <v>7</v>
      </c>
      <c r="B22" s="5">
        <f>SUM(B2:B21)</f>
        <v>150020</v>
      </c>
      <c r="C22" s="5">
        <f>SUM(C2:C21)</f>
        <v>727</v>
      </c>
      <c r="D22" s="6">
        <f>C22/B22</f>
        <v>4.8460205305959209E-3</v>
      </c>
    </row>
  </sheetData>
  <conditionalFormatting sqref="B22">
    <cfRule type="duplicateValues" dxfId="9" priority="2"/>
  </conditionalFormatting>
  <conditionalFormatting sqref="C22">
    <cfRule type="duplicateValues" dxfId="8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22" sqref="D22"/>
    </sheetView>
  </sheetViews>
  <sheetFormatPr defaultRowHeight="14.5" x14ac:dyDescent="0.35"/>
  <cols>
    <col min="1" max="1" width="11.7265625" customWidth="1"/>
    <col min="2" max="2" width="11.90625" customWidth="1"/>
    <col min="4" max="4" width="13.90625" bestFit="1" customWidth="1"/>
  </cols>
  <sheetData>
    <row r="1" spans="1:4" x14ac:dyDescent="0.35">
      <c r="A1" s="11" t="s">
        <v>13</v>
      </c>
      <c r="B1" s="1" t="s">
        <v>1</v>
      </c>
      <c r="C1" s="2" t="s">
        <v>2</v>
      </c>
      <c r="D1" s="2" t="s">
        <v>3</v>
      </c>
    </row>
    <row r="2" spans="1:4" x14ac:dyDescent="0.35">
      <c r="A2" s="8" t="s">
        <v>146</v>
      </c>
      <c r="B2" s="19">
        <v>62993</v>
      </c>
      <c r="C2" s="19">
        <v>323</v>
      </c>
      <c r="D2" s="10">
        <f>C2/B2</f>
        <v>5.1275538551902589E-3</v>
      </c>
    </row>
    <row r="3" spans="1:4" x14ac:dyDescent="0.35">
      <c r="A3" s="8" t="s">
        <v>147</v>
      </c>
      <c r="B3" s="19">
        <v>86026</v>
      </c>
      <c r="C3" s="19">
        <v>401</v>
      </c>
      <c r="D3" s="10">
        <f>C3/B3</f>
        <v>4.6613814428196126E-3</v>
      </c>
    </row>
    <row r="4" spans="1:4" x14ac:dyDescent="0.35">
      <c r="A4" s="8" t="s">
        <v>148</v>
      </c>
      <c r="B4" s="19">
        <v>1001</v>
      </c>
      <c r="C4" s="19">
        <v>3</v>
      </c>
      <c r="D4" s="10">
        <f>C4/B4</f>
        <v>2.997002997002997E-3</v>
      </c>
    </row>
    <row r="5" spans="1:4" x14ac:dyDescent="0.35">
      <c r="A5" s="4" t="s">
        <v>7</v>
      </c>
      <c r="B5" s="5">
        <f>SUM(B2:B4)</f>
        <v>150020</v>
      </c>
      <c r="C5" s="5">
        <f>SUM(C2:C4)</f>
        <v>727</v>
      </c>
      <c r="D5" s="6">
        <f t="shared" ref="D5" si="0">C5/B5</f>
        <v>4.8460205305959209E-3</v>
      </c>
    </row>
  </sheetData>
  <conditionalFormatting sqref="A5">
    <cfRule type="duplicateValues" dxfId="7" priority="1"/>
  </conditionalFormatting>
  <conditionalFormatting sqref="A5">
    <cfRule type="duplicateValues" dxfId="6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16" sqref="B16"/>
    </sheetView>
  </sheetViews>
  <sheetFormatPr defaultRowHeight="14.5" x14ac:dyDescent="0.35"/>
  <cols>
    <col min="1" max="1" width="34.26953125" bestFit="1" customWidth="1"/>
    <col min="2" max="2" width="11.54296875" customWidth="1"/>
    <col min="4" max="4" width="13.90625" bestFit="1" customWidth="1"/>
  </cols>
  <sheetData>
    <row r="1" spans="1:4" x14ac:dyDescent="0.35">
      <c r="A1" s="11" t="s">
        <v>11</v>
      </c>
      <c r="B1" s="1" t="s">
        <v>1</v>
      </c>
      <c r="C1" s="2" t="s">
        <v>2</v>
      </c>
      <c r="D1" s="2" t="s">
        <v>3</v>
      </c>
    </row>
    <row r="2" spans="1:4" x14ac:dyDescent="0.35">
      <c r="A2" s="8" t="s">
        <v>142</v>
      </c>
      <c r="B2" s="19">
        <v>18551</v>
      </c>
      <c r="C2" s="19">
        <v>89</v>
      </c>
      <c r="D2" s="15">
        <f>C2/B2</f>
        <v>4.7975850358471239E-3</v>
      </c>
    </row>
    <row r="3" spans="1:4" x14ac:dyDescent="0.35">
      <c r="A3" s="8" t="s">
        <v>143</v>
      </c>
      <c r="B3" s="19">
        <v>44366</v>
      </c>
      <c r="C3" s="19">
        <v>234</v>
      </c>
      <c r="D3" s="15">
        <f t="shared" ref="D3:D5" si="0">C3/B3</f>
        <v>5.274309155659739E-3</v>
      </c>
    </row>
    <row r="4" spans="1:4" x14ac:dyDescent="0.35">
      <c r="A4" s="8" t="s">
        <v>144</v>
      </c>
      <c r="B4" s="19">
        <v>1178</v>
      </c>
      <c r="C4" s="19">
        <v>5</v>
      </c>
      <c r="D4" s="15">
        <f t="shared" si="0"/>
        <v>4.2444821731748728E-3</v>
      </c>
    </row>
    <row r="5" spans="1:4" x14ac:dyDescent="0.35">
      <c r="A5" s="8" t="s">
        <v>145</v>
      </c>
      <c r="B5" s="19">
        <v>85925</v>
      </c>
      <c r="C5" s="19">
        <v>399</v>
      </c>
      <c r="D5" s="15">
        <f t="shared" si="0"/>
        <v>4.6435845213849284E-3</v>
      </c>
    </row>
    <row r="6" spans="1:4" x14ac:dyDescent="0.35">
      <c r="A6" s="4" t="s">
        <v>7</v>
      </c>
      <c r="B6" s="5">
        <f>SUM(B2:B5)</f>
        <v>150020</v>
      </c>
      <c r="C6" s="5">
        <f>SUM(C2:C5)</f>
        <v>727</v>
      </c>
      <c r="D6" s="6">
        <f>C6/B6</f>
        <v>4.8460205305959209E-3</v>
      </c>
    </row>
  </sheetData>
  <conditionalFormatting sqref="A6">
    <cfRule type="duplicateValues" dxfId="5" priority="1"/>
  </conditionalFormatting>
  <conditionalFormatting sqref="A6">
    <cfRule type="duplicateValues" dxfId="4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0"/>
  <sheetViews>
    <sheetView workbookViewId="0">
      <selection activeCell="E22" sqref="E22"/>
    </sheetView>
  </sheetViews>
  <sheetFormatPr defaultRowHeight="14.5" x14ac:dyDescent="0.35"/>
  <cols>
    <col min="1" max="1" width="18.26953125" customWidth="1"/>
    <col min="2" max="2" width="15.1796875" customWidth="1"/>
    <col min="4" max="4" width="13.54296875" customWidth="1"/>
  </cols>
  <sheetData>
    <row r="1" spans="1:4" x14ac:dyDescent="0.35">
      <c r="A1" s="22" t="s">
        <v>12</v>
      </c>
      <c r="B1" s="23" t="s">
        <v>1</v>
      </c>
      <c r="C1" s="23" t="s">
        <v>2</v>
      </c>
      <c r="D1" s="23" t="s">
        <v>3</v>
      </c>
    </row>
    <row r="2" spans="1:4" x14ac:dyDescent="0.35">
      <c r="A2" s="8" t="s">
        <v>149</v>
      </c>
      <c r="B2" s="19">
        <v>298</v>
      </c>
      <c r="C2" s="19">
        <v>1</v>
      </c>
      <c r="D2" s="21">
        <f t="shared" ref="D2:D33" si="0">C2/B2</f>
        <v>3.3557046979865771E-3</v>
      </c>
    </row>
    <row r="3" spans="1:4" x14ac:dyDescent="0.35">
      <c r="A3" s="8" t="s">
        <v>150</v>
      </c>
      <c r="B3" s="19">
        <v>15</v>
      </c>
      <c r="C3" s="19">
        <v>0</v>
      </c>
      <c r="D3" s="21">
        <f t="shared" si="0"/>
        <v>0</v>
      </c>
    </row>
    <row r="4" spans="1:4" x14ac:dyDescent="0.35">
      <c r="A4" s="8" t="s">
        <v>151</v>
      </c>
      <c r="B4" s="19">
        <v>168</v>
      </c>
      <c r="C4" s="19">
        <v>0</v>
      </c>
      <c r="D4" s="21">
        <f t="shared" si="0"/>
        <v>0</v>
      </c>
    </row>
    <row r="5" spans="1:4" x14ac:dyDescent="0.35">
      <c r="A5" s="8" t="s">
        <v>152</v>
      </c>
      <c r="B5" s="19">
        <v>14</v>
      </c>
      <c r="C5" s="19">
        <v>0</v>
      </c>
      <c r="D5" s="21">
        <f t="shared" si="0"/>
        <v>0</v>
      </c>
    </row>
    <row r="6" spans="1:4" x14ac:dyDescent="0.35">
      <c r="A6" s="8" t="s">
        <v>153</v>
      </c>
      <c r="B6" s="19">
        <v>5</v>
      </c>
      <c r="C6" s="19">
        <v>0</v>
      </c>
      <c r="D6" s="21">
        <f t="shared" si="0"/>
        <v>0</v>
      </c>
    </row>
    <row r="7" spans="1:4" x14ac:dyDescent="0.35">
      <c r="A7" s="8" t="s">
        <v>154</v>
      </c>
      <c r="B7" s="19">
        <v>37</v>
      </c>
      <c r="C7" s="19">
        <v>0</v>
      </c>
      <c r="D7" s="21">
        <f t="shared" si="0"/>
        <v>0</v>
      </c>
    </row>
    <row r="8" spans="1:4" x14ac:dyDescent="0.35">
      <c r="A8" s="8" t="s">
        <v>155</v>
      </c>
      <c r="B8" s="19">
        <v>2</v>
      </c>
      <c r="C8" s="19">
        <v>0</v>
      </c>
      <c r="D8" s="21">
        <f t="shared" si="0"/>
        <v>0</v>
      </c>
    </row>
    <row r="9" spans="1:4" x14ac:dyDescent="0.35">
      <c r="A9" s="8" t="s">
        <v>156</v>
      </c>
      <c r="B9" s="19">
        <v>5</v>
      </c>
      <c r="C9" s="19">
        <v>0</v>
      </c>
      <c r="D9" s="21">
        <f t="shared" si="0"/>
        <v>0</v>
      </c>
    </row>
    <row r="10" spans="1:4" x14ac:dyDescent="0.35">
      <c r="A10" s="8" t="s">
        <v>157</v>
      </c>
      <c r="B10" s="19">
        <v>16</v>
      </c>
      <c r="C10" s="19">
        <v>0</v>
      </c>
      <c r="D10" s="21">
        <f t="shared" si="0"/>
        <v>0</v>
      </c>
    </row>
    <row r="11" spans="1:4" x14ac:dyDescent="0.35">
      <c r="A11" s="8" t="s">
        <v>158</v>
      </c>
      <c r="B11" s="19">
        <v>120</v>
      </c>
      <c r="C11" s="19">
        <v>0</v>
      </c>
      <c r="D11" s="21">
        <f t="shared" si="0"/>
        <v>0</v>
      </c>
    </row>
    <row r="12" spans="1:4" x14ac:dyDescent="0.35">
      <c r="A12" s="8" t="s">
        <v>159</v>
      </c>
      <c r="B12" s="19">
        <v>94</v>
      </c>
      <c r="C12" s="19">
        <v>0</v>
      </c>
      <c r="D12" s="21">
        <f t="shared" si="0"/>
        <v>0</v>
      </c>
    </row>
    <row r="13" spans="1:4" x14ac:dyDescent="0.35">
      <c r="A13" s="8" t="s">
        <v>160</v>
      </c>
      <c r="B13" s="19">
        <v>2</v>
      </c>
      <c r="C13" s="19">
        <v>0</v>
      </c>
      <c r="D13" s="21">
        <f t="shared" si="0"/>
        <v>0</v>
      </c>
    </row>
    <row r="14" spans="1:4" x14ac:dyDescent="0.35">
      <c r="A14" s="8" t="s">
        <v>161</v>
      </c>
      <c r="B14" s="19">
        <v>10</v>
      </c>
      <c r="C14" s="19">
        <v>0</v>
      </c>
      <c r="D14" s="21">
        <f t="shared" si="0"/>
        <v>0</v>
      </c>
    </row>
    <row r="15" spans="1:4" x14ac:dyDescent="0.35">
      <c r="A15" s="8" t="s">
        <v>162</v>
      </c>
      <c r="B15" s="19">
        <v>28</v>
      </c>
      <c r="C15" s="19">
        <v>0</v>
      </c>
      <c r="D15" s="21">
        <f t="shared" si="0"/>
        <v>0</v>
      </c>
    </row>
    <row r="16" spans="1:4" x14ac:dyDescent="0.35">
      <c r="A16" s="8" t="s">
        <v>163</v>
      </c>
      <c r="B16" s="19">
        <v>2</v>
      </c>
      <c r="C16" s="19">
        <v>0</v>
      </c>
      <c r="D16" s="21">
        <f t="shared" si="0"/>
        <v>0</v>
      </c>
    </row>
    <row r="17" spans="1:4" x14ac:dyDescent="0.35">
      <c r="A17" s="8" t="s">
        <v>164</v>
      </c>
      <c r="B17" s="19">
        <v>5</v>
      </c>
      <c r="C17" s="19">
        <v>0</v>
      </c>
      <c r="D17" s="21">
        <f t="shared" si="0"/>
        <v>0</v>
      </c>
    </row>
    <row r="18" spans="1:4" x14ac:dyDescent="0.35">
      <c r="A18" s="8" t="s">
        <v>165</v>
      </c>
      <c r="B18" s="19">
        <v>18</v>
      </c>
      <c r="C18" s="19">
        <v>0</v>
      </c>
      <c r="D18" s="21">
        <f t="shared" si="0"/>
        <v>0</v>
      </c>
    </row>
    <row r="19" spans="1:4" x14ac:dyDescent="0.35">
      <c r="A19" s="8" t="s">
        <v>166</v>
      </c>
      <c r="B19" s="19">
        <v>26</v>
      </c>
      <c r="C19" s="19">
        <v>0</v>
      </c>
      <c r="D19" s="21">
        <f t="shared" si="0"/>
        <v>0</v>
      </c>
    </row>
    <row r="20" spans="1:4" x14ac:dyDescent="0.35">
      <c r="A20" s="8" t="s">
        <v>167</v>
      </c>
      <c r="B20" s="19">
        <v>84</v>
      </c>
      <c r="C20" s="19">
        <v>0</v>
      </c>
      <c r="D20" s="21">
        <f t="shared" si="0"/>
        <v>0</v>
      </c>
    </row>
    <row r="21" spans="1:4" x14ac:dyDescent="0.35">
      <c r="A21" s="8" t="s">
        <v>168</v>
      </c>
      <c r="B21" s="19">
        <v>816</v>
      </c>
      <c r="C21" s="19">
        <v>4</v>
      </c>
      <c r="D21" s="21">
        <f t="shared" si="0"/>
        <v>4.9019607843137254E-3</v>
      </c>
    </row>
    <row r="22" spans="1:4" x14ac:dyDescent="0.35">
      <c r="A22" s="8" t="s">
        <v>169</v>
      </c>
      <c r="B22" s="19">
        <v>8</v>
      </c>
      <c r="C22" s="19">
        <v>0</v>
      </c>
      <c r="D22" s="21">
        <f t="shared" si="0"/>
        <v>0</v>
      </c>
    </row>
    <row r="23" spans="1:4" x14ac:dyDescent="0.35">
      <c r="A23" s="8" t="s">
        <v>170</v>
      </c>
      <c r="B23" s="19">
        <v>1</v>
      </c>
      <c r="C23" s="19">
        <v>0</v>
      </c>
      <c r="D23" s="21">
        <f t="shared" si="0"/>
        <v>0</v>
      </c>
    </row>
    <row r="24" spans="1:4" x14ac:dyDescent="0.35">
      <c r="A24" s="8" t="s">
        <v>171</v>
      </c>
      <c r="B24" s="19">
        <v>7</v>
      </c>
      <c r="C24" s="19">
        <v>0</v>
      </c>
      <c r="D24" s="21">
        <f t="shared" si="0"/>
        <v>0</v>
      </c>
    </row>
    <row r="25" spans="1:4" x14ac:dyDescent="0.35">
      <c r="A25" s="8" t="s">
        <v>172</v>
      </c>
      <c r="B25" s="19">
        <v>7</v>
      </c>
      <c r="C25" s="19">
        <v>0</v>
      </c>
      <c r="D25" s="21">
        <f t="shared" si="0"/>
        <v>0</v>
      </c>
    </row>
    <row r="26" spans="1:4" x14ac:dyDescent="0.35">
      <c r="A26" s="8" t="s">
        <v>173</v>
      </c>
      <c r="B26" s="19">
        <v>6</v>
      </c>
      <c r="C26" s="19">
        <v>0</v>
      </c>
      <c r="D26" s="21">
        <f t="shared" si="0"/>
        <v>0</v>
      </c>
    </row>
    <row r="27" spans="1:4" x14ac:dyDescent="0.35">
      <c r="A27" s="8" t="s">
        <v>174</v>
      </c>
      <c r="B27" s="19">
        <v>133</v>
      </c>
      <c r="C27" s="19">
        <v>0</v>
      </c>
      <c r="D27" s="21">
        <f t="shared" si="0"/>
        <v>0</v>
      </c>
    </row>
    <row r="28" spans="1:4" x14ac:dyDescent="0.35">
      <c r="A28" s="8" t="s">
        <v>175</v>
      </c>
      <c r="B28" s="19">
        <v>15</v>
      </c>
      <c r="C28" s="19">
        <v>0</v>
      </c>
      <c r="D28" s="21">
        <f t="shared" si="0"/>
        <v>0</v>
      </c>
    </row>
    <row r="29" spans="1:4" x14ac:dyDescent="0.35">
      <c r="A29" s="8" t="s">
        <v>176</v>
      </c>
      <c r="B29" s="19">
        <v>2</v>
      </c>
      <c r="C29" s="19">
        <v>0</v>
      </c>
      <c r="D29" s="21">
        <f t="shared" si="0"/>
        <v>0</v>
      </c>
    </row>
    <row r="30" spans="1:4" x14ac:dyDescent="0.35">
      <c r="A30" s="8" t="s">
        <v>177</v>
      </c>
      <c r="B30" s="19">
        <v>264</v>
      </c>
      <c r="C30" s="19">
        <v>1</v>
      </c>
      <c r="D30" s="21">
        <f t="shared" si="0"/>
        <v>3.787878787878788E-3</v>
      </c>
    </row>
    <row r="31" spans="1:4" x14ac:dyDescent="0.35">
      <c r="A31" s="8" t="s">
        <v>178</v>
      </c>
      <c r="B31" s="19">
        <v>992</v>
      </c>
      <c r="C31" s="19">
        <v>4</v>
      </c>
      <c r="D31" s="21">
        <f t="shared" si="0"/>
        <v>4.0322580645161289E-3</v>
      </c>
    </row>
    <row r="32" spans="1:4" x14ac:dyDescent="0.35">
      <c r="A32" s="8" t="s">
        <v>179</v>
      </c>
      <c r="B32" s="19">
        <v>57</v>
      </c>
      <c r="C32" s="19">
        <v>0</v>
      </c>
      <c r="D32" s="21">
        <f t="shared" si="0"/>
        <v>0</v>
      </c>
    </row>
    <row r="33" spans="1:4" x14ac:dyDescent="0.35">
      <c r="A33" s="8" t="s">
        <v>180</v>
      </c>
      <c r="B33" s="19">
        <v>89</v>
      </c>
      <c r="C33" s="19">
        <v>0</v>
      </c>
      <c r="D33" s="21">
        <f t="shared" si="0"/>
        <v>0</v>
      </c>
    </row>
    <row r="34" spans="1:4" x14ac:dyDescent="0.35">
      <c r="A34" s="8" t="s">
        <v>181</v>
      </c>
      <c r="B34" s="19">
        <v>151</v>
      </c>
      <c r="C34" s="19">
        <v>0</v>
      </c>
      <c r="D34" s="21">
        <f t="shared" ref="D34:D65" si="1">C34/B34</f>
        <v>0</v>
      </c>
    </row>
    <row r="35" spans="1:4" x14ac:dyDescent="0.35">
      <c r="A35" s="8" t="s">
        <v>182</v>
      </c>
      <c r="B35" s="19">
        <v>77</v>
      </c>
      <c r="C35" s="19">
        <v>0</v>
      </c>
      <c r="D35" s="21">
        <f t="shared" si="1"/>
        <v>0</v>
      </c>
    </row>
    <row r="36" spans="1:4" x14ac:dyDescent="0.35">
      <c r="A36" s="8" t="s">
        <v>183</v>
      </c>
      <c r="B36" s="19">
        <v>4</v>
      </c>
      <c r="C36" s="19">
        <v>0</v>
      </c>
      <c r="D36" s="21">
        <f t="shared" si="1"/>
        <v>0</v>
      </c>
    </row>
    <row r="37" spans="1:4" x14ac:dyDescent="0.35">
      <c r="A37" s="8" t="s">
        <v>184</v>
      </c>
      <c r="B37" s="19">
        <v>27</v>
      </c>
      <c r="C37" s="19">
        <v>0</v>
      </c>
      <c r="D37" s="21">
        <f t="shared" si="1"/>
        <v>0</v>
      </c>
    </row>
    <row r="38" spans="1:4" x14ac:dyDescent="0.35">
      <c r="A38" s="8" t="s">
        <v>185</v>
      </c>
      <c r="B38" s="19">
        <v>16</v>
      </c>
      <c r="C38" s="19">
        <v>0</v>
      </c>
      <c r="D38" s="21">
        <f t="shared" si="1"/>
        <v>0</v>
      </c>
    </row>
    <row r="39" spans="1:4" x14ac:dyDescent="0.35">
      <c r="A39" s="8" t="s">
        <v>186</v>
      </c>
      <c r="B39" s="19">
        <v>39</v>
      </c>
      <c r="C39" s="19">
        <v>0</v>
      </c>
      <c r="D39" s="21">
        <f t="shared" si="1"/>
        <v>0</v>
      </c>
    </row>
    <row r="40" spans="1:4" x14ac:dyDescent="0.35">
      <c r="A40" s="8" t="s">
        <v>187</v>
      </c>
      <c r="B40" s="19">
        <v>157</v>
      </c>
      <c r="C40" s="19">
        <v>0</v>
      </c>
      <c r="D40" s="21">
        <f t="shared" si="1"/>
        <v>0</v>
      </c>
    </row>
    <row r="41" spans="1:4" x14ac:dyDescent="0.35">
      <c r="A41" s="8" t="s">
        <v>188</v>
      </c>
      <c r="B41" s="19">
        <v>128</v>
      </c>
      <c r="C41" s="19">
        <v>0</v>
      </c>
      <c r="D41" s="21">
        <f t="shared" si="1"/>
        <v>0</v>
      </c>
    </row>
    <row r="42" spans="1:4" x14ac:dyDescent="0.35">
      <c r="A42" s="8" t="s">
        <v>189</v>
      </c>
      <c r="B42" s="19">
        <v>167</v>
      </c>
      <c r="C42" s="19">
        <v>0</v>
      </c>
      <c r="D42" s="21">
        <f t="shared" si="1"/>
        <v>0</v>
      </c>
    </row>
    <row r="43" spans="1:4" x14ac:dyDescent="0.35">
      <c r="A43" s="8" t="s">
        <v>190</v>
      </c>
      <c r="B43" s="19">
        <v>58</v>
      </c>
      <c r="C43" s="19">
        <v>0</v>
      </c>
      <c r="D43" s="21">
        <f t="shared" si="1"/>
        <v>0</v>
      </c>
    </row>
    <row r="44" spans="1:4" x14ac:dyDescent="0.35">
      <c r="A44" s="8" t="s">
        <v>191</v>
      </c>
      <c r="B44" s="19">
        <v>32</v>
      </c>
      <c r="C44" s="19">
        <v>0</v>
      </c>
      <c r="D44" s="21">
        <f t="shared" si="1"/>
        <v>0</v>
      </c>
    </row>
    <row r="45" spans="1:4" x14ac:dyDescent="0.35">
      <c r="A45" s="8" t="s">
        <v>192</v>
      </c>
      <c r="B45" s="19">
        <v>32</v>
      </c>
      <c r="C45" s="19">
        <v>0</v>
      </c>
      <c r="D45" s="21">
        <f t="shared" si="1"/>
        <v>0</v>
      </c>
    </row>
    <row r="46" spans="1:4" x14ac:dyDescent="0.35">
      <c r="A46" s="8" t="s">
        <v>193</v>
      </c>
      <c r="B46" s="19">
        <v>87</v>
      </c>
      <c r="C46" s="19">
        <v>0</v>
      </c>
      <c r="D46" s="21">
        <f t="shared" si="1"/>
        <v>0</v>
      </c>
    </row>
    <row r="47" spans="1:4" x14ac:dyDescent="0.35">
      <c r="A47" s="8" t="s">
        <v>194</v>
      </c>
      <c r="B47" s="19">
        <v>5</v>
      </c>
      <c r="C47" s="19">
        <v>0</v>
      </c>
      <c r="D47" s="21">
        <f t="shared" si="1"/>
        <v>0</v>
      </c>
    </row>
    <row r="48" spans="1:4" x14ac:dyDescent="0.35">
      <c r="A48" s="8" t="s">
        <v>195</v>
      </c>
      <c r="B48" s="19">
        <v>51</v>
      </c>
      <c r="C48" s="19">
        <v>0</v>
      </c>
      <c r="D48" s="21">
        <f t="shared" si="1"/>
        <v>0</v>
      </c>
    </row>
    <row r="49" spans="1:4" x14ac:dyDescent="0.35">
      <c r="A49" s="8" t="s">
        <v>196</v>
      </c>
      <c r="B49" s="19">
        <v>33</v>
      </c>
      <c r="C49" s="19">
        <v>0</v>
      </c>
      <c r="D49" s="21">
        <f t="shared" si="1"/>
        <v>0</v>
      </c>
    </row>
    <row r="50" spans="1:4" x14ac:dyDescent="0.35">
      <c r="A50" s="8" t="s">
        <v>197</v>
      </c>
      <c r="B50" s="19">
        <v>153</v>
      </c>
      <c r="C50" s="19">
        <v>0</v>
      </c>
      <c r="D50" s="21">
        <f t="shared" si="1"/>
        <v>0</v>
      </c>
    </row>
    <row r="51" spans="1:4" x14ac:dyDescent="0.35">
      <c r="A51" s="8" t="s">
        <v>198</v>
      </c>
      <c r="B51" s="19">
        <v>11</v>
      </c>
      <c r="C51" s="19">
        <v>0</v>
      </c>
      <c r="D51" s="21">
        <f t="shared" si="1"/>
        <v>0</v>
      </c>
    </row>
    <row r="52" spans="1:4" x14ac:dyDescent="0.35">
      <c r="A52" s="8" t="s">
        <v>199</v>
      </c>
      <c r="B52" s="19">
        <v>152</v>
      </c>
      <c r="C52" s="19">
        <v>0</v>
      </c>
      <c r="D52" s="21">
        <f t="shared" si="1"/>
        <v>0</v>
      </c>
    </row>
    <row r="53" spans="1:4" x14ac:dyDescent="0.35">
      <c r="A53" s="8" t="s">
        <v>200</v>
      </c>
      <c r="B53" s="19">
        <v>4</v>
      </c>
      <c r="C53" s="19">
        <v>0</v>
      </c>
      <c r="D53" s="21">
        <f t="shared" si="1"/>
        <v>0</v>
      </c>
    </row>
    <row r="54" spans="1:4" x14ac:dyDescent="0.35">
      <c r="A54" s="8" t="s">
        <v>201</v>
      </c>
      <c r="B54" s="19">
        <v>18</v>
      </c>
      <c r="C54" s="19">
        <v>0</v>
      </c>
      <c r="D54" s="21">
        <f t="shared" si="1"/>
        <v>0</v>
      </c>
    </row>
    <row r="55" spans="1:4" x14ac:dyDescent="0.35">
      <c r="A55" s="8" t="s">
        <v>202</v>
      </c>
      <c r="B55" s="19">
        <v>154</v>
      </c>
      <c r="C55" s="19">
        <v>0</v>
      </c>
      <c r="D55" s="21">
        <f t="shared" si="1"/>
        <v>0</v>
      </c>
    </row>
    <row r="56" spans="1:4" x14ac:dyDescent="0.35">
      <c r="A56" s="8" t="s">
        <v>203</v>
      </c>
      <c r="B56" s="19">
        <v>137</v>
      </c>
      <c r="C56" s="19">
        <v>0</v>
      </c>
      <c r="D56" s="21">
        <f t="shared" si="1"/>
        <v>0</v>
      </c>
    </row>
    <row r="57" spans="1:4" x14ac:dyDescent="0.35">
      <c r="A57" s="8" t="s">
        <v>204</v>
      </c>
      <c r="B57" s="19">
        <v>207</v>
      </c>
      <c r="C57" s="19">
        <v>1</v>
      </c>
      <c r="D57" s="21">
        <f t="shared" si="1"/>
        <v>4.830917874396135E-3</v>
      </c>
    </row>
    <row r="58" spans="1:4" x14ac:dyDescent="0.35">
      <c r="A58" s="8" t="s">
        <v>205</v>
      </c>
      <c r="B58" s="19">
        <v>4</v>
      </c>
      <c r="C58" s="19">
        <v>0</v>
      </c>
      <c r="D58" s="21">
        <f t="shared" si="1"/>
        <v>0</v>
      </c>
    </row>
    <row r="59" spans="1:4" x14ac:dyDescent="0.35">
      <c r="A59" s="8" t="s">
        <v>206</v>
      </c>
      <c r="B59" s="19">
        <v>17</v>
      </c>
      <c r="C59" s="19">
        <v>0</v>
      </c>
      <c r="D59" s="21">
        <f t="shared" si="1"/>
        <v>0</v>
      </c>
    </row>
    <row r="60" spans="1:4" x14ac:dyDescent="0.35">
      <c r="A60" s="8" t="s">
        <v>207</v>
      </c>
      <c r="B60" s="19">
        <v>177</v>
      </c>
      <c r="C60" s="19">
        <v>0</v>
      </c>
      <c r="D60" s="21">
        <f t="shared" si="1"/>
        <v>0</v>
      </c>
    </row>
    <row r="61" spans="1:4" x14ac:dyDescent="0.35">
      <c r="A61" s="8" t="s">
        <v>208</v>
      </c>
      <c r="B61" s="19">
        <v>162</v>
      </c>
      <c r="C61" s="19">
        <v>0</v>
      </c>
      <c r="D61" s="21">
        <f t="shared" si="1"/>
        <v>0</v>
      </c>
    </row>
    <row r="62" spans="1:4" x14ac:dyDescent="0.35">
      <c r="A62" s="8" t="s">
        <v>209</v>
      </c>
      <c r="B62" s="19">
        <v>659</v>
      </c>
      <c r="C62" s="19">
        <v>4</v>
      </c>
      <c r="D62" s="21">
        <f t="shared" si="1"/>
        <v>6.0698027314112293E-3</v>
      </c>
    </row>
    <row r="63" spans="1:4" x14ac:dyDescent="0.35">
      <c r="A63" s="8" t="s">
        <v>210</v>
      </c>
      <c r="B63" s="19">
        <v>16</v>
      </c>
      <c r="C63" s="19">
        <v>0</v>
      </c>
      <c r="D63" s="21">
        <f t="shared" si="1"/>
        <v>0</v>
      </c>
    </row>
    <row r="64" spans="1:4" x14ac:dyDescent="0.35">
      <c r="A64" s="8" t="s">
        <v>211</v>
      </c>
      <c r="B64" s="19">
        <v>3</v>
      </c>
      <c r="C64" s="19">
        <v>0</v>
      </c>
      <c r="D64" s="21">
        <f t="shared" si="1"/>
        <v>0</v>
      </c>
    </row>
    <row r="65" spans="1:4" x14ac:dyDescent="0.35">
      <c r="A65" s="8" t="s">
        <v>212</v>
      </c>
      <c r="B65" s="19">
        <v>16</v>
      </c>
      <c r="C65" s="19">
        <v>0</v>
      </c>
      <c r="D65" s="21">
        <f t="shared" si="1"/>
        <v>0</v>
      </c>
    </row>
    <row r="66" spans="1:4" x14ac:dyDescent="0.35">
      <c r="A66" s="8" t="s">
        <v>213</v>
      </c>
      <c r="B66" s="19">
        <v>3</v>
      </c>
      <c r="C66" s="19">
        <v>0</v>
      </c>
      <c r="D66" s="21">
        <f t="shared" ref="D66:D97" si="2">C66/B66</f>
        <v>0</v>
      </c>
    </row>
    <row r="67" spans="1:4" x14ac:dyDescent="0.35">
      <c r="A67" s="8" t="s">
        <v>214</v>
      </c>
      <c r="B67" s="19">
        <v>134</v>
      </c>
      <c r="C67" s="19">
        <v>0</v>
      </c>
      <c r="D67" s="21">
        <f t="shared" si="2"/>
        <v>0</v>
      </c>
    </row>
    <row r="68" spans="1:4" x14ac:dyDescent="0.35">
      <c r="A68" s="8" t="s">
        <v>215</v>
      </c>
      <c r="B68" s="19">
        <v>8</v>
      </c>
      <c r="C68" s="19">
        <v>0</v>
      </c>
      <c r="D68" s="21">
        <f t="shared" si="2"/>
        <v>0</v>
      </c>
    </row>
    <row r="69" spans="1:4" x14ac:dyDescent="0.35">
      <c r="A69" s="8" t="s">
        <v>216</v>
      </c>
      <c r="B69" s="19">
        <v>153</v>
      </c>
      <c r="C69" s="19">
        <v>0</v>
      </c>
      <c r="D69" s="21">
        <f t="shared" si="2"/>
        <v>0</v>
      </c>
    </row>
    <row r="70" spans="1:4" x14ac:dyDescent="0.35">
      <c r="A70" s="8" t="s">
        <v>217</v>
      </c>
      <c r="B70" s="19">
        <v>45</v>
      </c>
      <c r="C70" s="19">
        <v>0</v>
      </c>
      <c r="D70" s="21">
        <f t="shared" si="2"/>
        <v>0</v>
      </c>
    </row>
    <row r="71" spans="1:4" x14ac:dyDescent="0.35">
      <c r="A71" s="8" t="s">
        <v>218</v>
      </c>
      <c r="B71" s="19">
        <v>21</v>
      </c>
      <c r="C71" s="19">
        <v>0</v>
      </c>
      <c r="D71" s="21">
        <f t="shared" si="2"/>
        <v>0</v>
      </c>
    </row>
    <row r="72" spans="1:4" x14ac:dyDescent="0.35">
      <c r="A72" s="8" t="s">
        <v>219</v>
      </c>
      <c r="B72" s="19">
        <v>15</v>
      </c>
      <c r="C72" s="19">
        <v>0</v>
      </c>
      <c r="D72" s="21">
        <f t="shared" si="2"/>
        <v>0</v>
      </c>
    </row>
    <row r="73" spans="1:4" x14ac:dyDescent="0.35">
      <c r="A73" s="8" t="s">
        <v>220</v>
      </c>
      <c r="B73" s="19">
        <v>6</v>
      </c>
      <c r="C73" s="19">
        <v>0</v>
      </c>
      <c r="D73" s="21">
        <f t="shared" si="2"/>
        <v>0</v>
      </c>
    </row>
    <row r="74" spans="1:4" x14ac:dyDescent="0.35">
      <c r="A74" s="8" t="s">
        <v>221</v>
      </c>
      <c r="B74" s="19">
        <v>23</v>
      </c>
      <c r="C74" s="19">
        <v>0</v>
      </c>
      <c r="D74" s="21">
        <f t="shared" si="2"/>
        <v>0</v>
      </c>
    </row>
    <row r="75" spans="1:4" x14ac:dyDescent="0.35">
      <c r="A75" s="8" t="s">
        <v>222</v>
      </c>
      <c r="B75" s="19">
        <v>11</v>
      </c>
      <c r="C75" s="19">
        <v>0</v>
      </c>
      <c r="D75" s="21">
        <f t="shared" si="2"/>
        <v>0</v>
      </c>
    </row>
    <row r="76" spans="1:4" x14ac:dyDescent="0.35">
      <c r="A76" s="8" t="s">
        <v>223</v>
      </c>
      <c r="B76" s="19">
        <v>34</v>
      </c>
      <c r="C76" s="19">
        <v>0</v>
      </c>
      <c r="D76" s="21">
        <f t="shared" si="2"/>
        <v>0</v>
      </c>
    </row>
    <row r="77" spans="1:4" x14ac:dyDescent="0.35">
      <c r="A77" s="8" t="s">
        <v>224</v>
      </c>
      <c r="B77" s="19">
        <v>6</v>
      </c>
      <c r="C77" s="19">
        <v>0</v>
      </c>
      <c r="D77" s="21">
        <f t="shared" si="2"/>
        <v>0</v>
      </c>
    </row>
    <row r="78" spans="1:4" x14ac:dyDescent="0.35">
      <c r="A78" s="8" t="s">
        <v>225</v>
      </c>
      <c r="B78" s="19">
        <v>479</v>
      </c>
      <c r="C78" s="19">
        <v>2</v>
      </c>
      <c r="D78" s="21">
        <f t="shared" si="2"/>
        <v>4.1753653444676405E-3</v>
      </c>
    </row>
    <row r="79" spans="1:4" x14ac:dyDescent="0.35">
      <c r="A79" s="8" t="s">
        <v>226</v>
      </c>
      <c r="B79" s="19">
        <v>190</v>
      </c>
      <c r="C79" s="19">
        <v>0</v>
      </c>
      <c r="D79" s="21">
        <f t="shared" si="2"/>
        <v>0</v>
      </c>
    </row>
    <row r="80" spans="1:4" x14ac:dyDescent="0.35">
      <c r="A80" s="8" t="s">
        <v>227</v>
      </c>
      <c r="B80" s="19">
        <v>25</v>
      </c>
      <c r="C80" s="19">
        <v>0</v>
      </c>
      <c r="D80" s="21">
        <f t="shared" si="2"/>
        <v>0</v>
      </c>
    </row>
    <row r="81" spans="1:4" x14ac:dyDescent="0.35">
      <c r="A81" s="8" t="s">
        <v>228</v>
      </c>
      <c r="B81" s="19">
        <v>41</v>
      </c>
      <c r="C81" s="19">
        <v>0</v>
      </c>
      <c r="D81" s="21">
        <f t="shared" si="2"/>
        <v>0</v>
      </c>
    </row>
    <row r="82" spans="1:4" x14ac:dyDescent="0.35">
      <c r="A82" s="8" t="s">
        <v>229</v>
      </c>
      <c r="B82" s="19">
        <v>12</v>
      </c>
      <c r="C82" s="19">
        <v>0</v>
      </c>
      <c r="D82" s="21">
        <f t="shared" si="2"/>
        <v>0</v>
      </c>
    </row>
    <row r="83" spans="1:4" x14ac:dyDescent="0.35">
      <c r="A83" s="8" t="s">
        <v>230</v>
      </c>
      <c r="B83" s="19">
        <v>51</v>
      </c>
      <c r="C83" s="19">
        <v>0</v>
      </c>
      <c r="D83" s="21">
        <f t="shared" si="2"/>
        <v>0</v>
      </c>
    </row>
    <row r="84" spans="1:4" x14ac:dyDescent="0.35">
      <c r="A84" s="8" t="s">
        <v>231</v>
      </c>
      <c r="B84" s="19">
        <v>113</v>
      </c>
      <c r="C84" s="19">
        <v>0</v>
      </c>
      <c r="D84" s="21">
        <f t="shared" si="2"/>
        <v>0</v>
      </c>
    </row>
    <row r="85" spans="1:4" x14ac:dyDescent="0.35">
      <c r="A85" s="8" t="s">
        <v>232</v>
      </c>
      <c r="B85" s="19">
        <v>45</v>
      </c>
      <c r="C85" s="19">
        <v>0</v>
      </c>
      <c r="D85" s="21">
        <f t="shared" si="2"/>
        <v>0</v>
      </c>
    </row>
    <row r="86" spans="1:4" x14ac:dyDescent="0.35">
      <c r="A86" s="8" t="s">
        <v>233</v>
      </c>
      <c r="B86" s="19">
        <v>8</v>
      </c>
      <c r="C86" s="19">
        <v>0</v>
      </c>
      <c r="D86" s="21">
        <f t="shared" si="2"/>
        <v>0</v>
      </c>
    </row>
    <row r="87" spans="1:4" x14ac:dyDescent="0.35">
      <c r="A87" s="8" t="s">
        <v>234</v>
      </c>
      <c r="B87" s="19">
        <v>385</v>
      </c>
      <c r="C87" s="19">
        <v>2</v>
      </c>
      <c r="D87" s="21">
        <f t="shared" si="2"/>
        <v>5.1948051948051948E-3</v>
      </c>
    </row>
    <row r="88" spans="1:4" x14ac:dyDescent="0.35">
      <c r="A88" s="8" t="s">
        <v>235</v>
      </c>
      <c r="B88" s="19">
        <v>21</v>
      </c>
      <c r="C88" s="19">
        <v>0</v>
      </c>
      <c r="D88" s="21">
        <f t="shared" si="2"/>
        <v>0</v>
      </c>
    </row>
    <row r="89" spans="1:4" x14ac:dyDescent="0.35">
      <c r="A89" s="8" t="s">
        <v>236</v>
      </c>
      <c r="B89" s="19">
        <v>7</v>
      </c>
      <c r="C89" s="19">
        <v>0</v>
      </c>
      <c r="D89" s="21">
        <f t="shared" si="2"/>
        <v>0</v>
      </c>
    </row>
    <row r="90" spans="1:4" x14ac:dyDescent="0.35">
      <c r="A90" s="8" t="s">
        <v>237</v>
      </c>
      <c r="B90" s="19">
        <v>20</v>
      </c>
      <c r="C90" s="19">
        <v>0</v>
      </c>
      <c r="D90" s="21">
        <f t="shared" si="2"/>
        <v>0</v>
      </c>
    </row>
    <row r="91" spans="1:4" x14ac:dyDescent="0.35">
      <c r="A91" s="8" t="s">
        <v>238</v>
      </c>
      <c r="B91" s="19">
        <v>224</v>
      </c>
      <c r="C91" s="19">
        <v>1</v>
      </c>
      <c r="D91" s="21">
        <f t="shared" si="2"/>
        <v>4.464285714285714E-3</v>
      </c>
    </row>
    <row r="92" spans="1:4" x14ac:dyDescent="0.35">
      <c r="A92" s="8" t="s">
        <v>239</v>
      </c>
      <c r="B92" s="19">
        <v>69</v>
      </c>
      <c r="C92" s="19">
        <v>0</v>
      </c>
      <c r="D92" s="21">
        <f t="shared" si="2"/>
        <v>0</v>
      </c>
    </row>
    <row r="93" spans="1:4" x14ac:dyDescent="0.35">
      <c r="A93" s="8" t="s">
        <v>240</v>
      </c>
      <c r="B93" s="19">
        <v>7</v>
      </c>
      <c r="C93" s="19">
        <v>0</v>
      </c>
      <c r="D93" s="21">
        <f t="shared" si="2"/>
        <v>0</v>
      </c>
    </row>
    <row r="94" spans="1:4" x14ac:dyDescent="0.35">
      <c r="A94" s="8" t="s">
        <v>241</v>
      </c>
      <c r="B94" s="19">
        <v>150</v>
      </c>
      <c r="C94" s="19">
        <v>0</v>
      </c>
      <c r="D94" s="21">
        <f t="shared" si="2"/>
        <v>0</v>
      </c>
    </row>
    <row r="95" spans="1:4" x14ac:dyDescent="0.35">
      <c r="A95" s="8" t="s">
        <v>242</v>
      </c>
      <c r="B95" s="19">
        <v>2</v>
      </c>
      <c r="C95" s="19">
        <v>0</v>
      </c>
      <c r="D95" s="21">
        <f t="shared" si="2"/>
        <v>0</v>
      </c>
    </row>
    <row r="96" spans="1:4" x14ac:dyDescent="0.35">
      <c r="A96" s="8" t="s">
        <v>243</v>
      </c>
      <c r="B96" s="19">
        <v>5</v>
      </c>
      <c r="C96" s="19">
        <v>0</v>
      </c>
      <c r="D96" s="21">
        <f t="shared" si="2"/>
        <v>0</v>
      </c>
    </row>
    <row r="97" spans="1:4" x14ac:dyDescent="0.35">
      <c r="A97" s="8" t="s">
        <v>244</v>
      </c>
      <c r="B97" s="19">
        <v>13</v>
      </c>
      <c r="C97" s="19">
        <v>0</v>
      </c>
      <c r="D97" s="21">
        <f t="shared" si="2"/>
        <v>0</v>
      </c>
    </row>
    <row r="98" spans="1:4" x14ac:dyDescent="0.35">
      <c r="A98" s="8" t="s">
        <v>245</v>
      </c>
      <c r="B98" s="19">
        <v>4</v>
      </c>
      <c r="C98" s="19">
        <v>0</v>
      </c>
      <c r="D98" s="21">
        <f t="shared" ref="D98:D129" si="3">C98/B98</f>
        <v>0</v>
      </c>
    </row>
    <row r="99" spans="1:4" x14ac:dyDescent="0.35">
      <c r="A99" s="8" t="s">
        <v>246</v>
      </c>
      <c r="B99" s="19">
        <v>12</v>
      </c>
      <c r="C99" s="19">
        <v>0</v>
      </c>
      <c r="D99" s="21">
        <f t="shared" si="3"/>
        <v>0</v>
      </c>
    </row>
    <row r="100" spans="1:4" x14ac:dyDescent="0.35">
      <c r="A100" s="8" t="s">
        <v>247</v>
      </c>
      <c r="B100" s="19">
        <v>25</v>
      </c>
      <c r="C100" s="19">
        <v>0</v>
      </c>
      <c r="D100" s="21">
        <f t="shared" si="3"/>
        <v>0</v>
      </c>
    </row>
    <row r="101" spans="1:4" x14ac:dyDescent="0.35">
      <c r="A101" s="8" t="s">
        <v>248</v>
      </c>
      <c r="B101" s="19">
        <v>1064</v>
      </c>
      <c r="C101" s="19">
        <v>5</v>
      </c>
      <c r="D101" s="21">
        <f t="shared" si="3"/>
        <v>4.6992481203007516E-3</v>
      </c>
    </row>
    <row r="102" spans="1:4" x14ac:dyDescent="0.35">
      <c r="A102" s="8" t="s">
        <v>249</v>
      </c>
      <c r="B102" s="19">
        <v>6</v>
      </c>
      <c r="C102" s="19">
        <v>0</v>
      </c>
      <c r="D102" s="21">
        <f t="shared" si="3"/>
        <v>0</v>
      </c>
    </row>
    <row r="103" spans="1:4" x14ac:dyDescent="0.35">
      <c r="A103" s="8" t="s">
        <v>250</v>
      </c>
      <c r="B103" s="19">
        <v>2</v>
      </c>
      <c r="C103" s="19">
        <v>0</v>
      </c>
      <c r="D103" s="21">
        <f t="shared" si="3"/>
        <v>0</v>
      </c>
    </row>
    <row r="104" spans="1:4" x14ac:dyDescent="0.35">
      <c r="A104" s="8" t="s">
        <v>251</v>
      </c>
      <c r="B104" s="19">
        <v>5</v>
      </c>
      <c r="C104" s="19">
        <v>0</v>
      </c>
      <c r="D104" s="21">
        <f t="shared" si="3"/>
        <v>0</v>
      </c>
    </row>
    <row r="105" spans="1:4" x14ac:dyDescent="0.35">
      <c r="A105" s="8" t="s">
        <v>252</v>
      </c>
      <c r="B105" s="19">
        <v>11</v>
      </c>
      <c r="C105" s="19">
        <v>0</v>
      </c>
      <c r="D105" s="21">
        <f t="shared" si="3"/>
        <v>0</v>
      </c>
    </row>
    <row r="106" spans="1:4" x14ac:dyDescent="0.35">
      <c r="A106" s="8" t="s">
        <v>253</v>
      </c>
      <c r="B106" s="19">
        <v>134</v>
      </c>
      <c r="C106" s="19">
        <v>0</v>
      </c>
      <c r="D106" s="21">
        <f t="shared" si="3"/>
        <v>0</v>
      </c>
    </row>
    <row r="107" spans="1:4" x14ac:dyDescent="0.35">
      <c r="A107" s="8" t="s">
        <v>254</v>
      </c>
      <c r="B107" s="19">
        <v>2</v>
      </c>
      <c r="C107" s="19">
        <v>0</v>
      </c>
      <c r="D107" s="21">
        <f t="shared" si="3"/>
        <v>0</v>
      </c>
    </row>
    <row r="108" spans="1:4" x14ac:dyDescent="0.35">
      <c r="A108" s="8" t="s">
        <v>255</v>
      </c>
      <c r="B108" s="19">
        <v>230</v>
      </c>
      <c r="C108" s="19">
        <v>1</v>
      </c>
      <c r="D108" s="21">
        <f t="shared" si="3"/>
        <v>4.3478260869565218E-3</v>
      </c>
    </row>
    <row r="109" spans="1:4" x14ac:dyDescent="0.35">
      <c r="A109" s="8" t="s">
        <v>256</v>
      </c>
      <c r="B109" s="19">
        <v>13</v>
      </c>
      <c r="C109" s="19">
        <v>0</v>
      </c>
      <c r="D109" s="21">
        <f t="shared" si="3"/>
        <v>0</v>
      </c>
    </row>
    <row r="110" spans="1:4" x14ac:dyDescent="0.35">
      <c r="A110" s="8" t="s">
        <v>257</v>
      </c>
      <c r="B110" s="19">
        <v>217</v>
      </c>
      <c r="C110" s="19">
        <v>0</v>
      </c>
      <c r="D110" s="21">
        <f t="shared" si="3"/>
        <v>0</v>
      </c>
    </row>
    <row r="111" spans="1:4" x14ac:dyDescent="0.35">
      <c r="A111" s="8" t="s">
        <v>258</v>
      </c>
      <c r="B111" s="19">
        <v>21</v>
      </c>
      <c r="C111" s="19">
        <v>0</v>
      </c>
      <c r="D111" s="21">
        <f t="shared" si="3"/>
        <v>0</v>
      </c>
    </row>
    <row r="112" spans="1:4" x14ac:dyDescent="0.35">
      <c r="A112" s="8" t="s">
        <v>259</v>
      </c>
      <c r="B112" s="19">
        <v>18</v>
      </c>
      <c r="C112" s="19">
        <v>0</v>
      </c>
      <c r="D112" s="21">
        <f t="shared" si="3"/>
        <v>0</v>
      </c>
    </row>
    <row r="113" spans="1:4" x14ac:dyDescent="0.35">
      <c r="A113" s="8" t="s">
        <v>260</v>
      </c>
      <c r="B113" s="19">
        <v>351</v>
      </c>
      <c r="C113" s="19">
        <v>2</v>
      </c>
      <c r="D113" s="21">
        <f t="shared" si="3"/>
        <v>5.6980056980056983E-3</v>
      </c>
    </row>
    <row r="114" spans="1:4" x14ac:dyDescent="0.35">
      <c r="A114" s="8" t="s">
        <v>261</v>
      </c>
      <c r="B114" s="19">
        <v>15</v>
      </c>
      <c r="C114" s="19">
        <v>0</v>
      </c>
      <c r="D114" s="21">
        <f t="shared" si="3"/>
        <v>0</v>
      </c>
    </row>
    <row r="115" spans="1:4" x14ac:dyDescent="0.35">
      <c r="A115" s="8" t="s">
        <v>262</v>
      </c>
      <c r="B115" s="19">
        <v>7</v>
      </c>
      <c r="C115" s="19">
        <v>0</v>
      </c>
      <c r="D115" s="21">
        <f t="shared" si="3"/>
        <v>0</v>
      </c>
    </row>
    <row r="116" spans="1:4" x14ac:dyDescent="0.35">
      <c r="A116" s="8" t="s">
        <v>263</v>
      </c>
      <c r="B116" s="19">
        <v>12</v>
      </c>
      <c r="C116" s="19">
        <v>0</v>
      </c>
      <c r="D116" s="21">
        <f t="shared" si="3"/>
        <v>0</v>
      </c>
    </row>
    <row r="117" spans="1:4" x14ac:dyDescent="0.35">
      <c r="A117" s="8" t="s">
        <v>264</v>
      </c>
      <c r="B117" s="19">
        <v>45</v>
      </c>
      <c r="C117" s="19">
        <v>0</v>
      </c>
      <c r="D117" s="21">
        <f t="shared" si="3"/>
        <v>0</v>
      </c>
    </row>
    <row r="118" spans="1:4" x14ac:dyDescent="0.35">
      <c r="A118" s="8" t="s">
        <v>265</v>
      </c>
      <c r="B118" s="19">
        <v>121</v>
      </c>
      <c r="C118" s="19">
        <v>0</v>
      </c>
      <c r="D118" s="21">
        <f t="shared" si="3"/>
        <v>0</v>
      </c>
    </row>
    <row r="119" spans="1:4" x14ac:dyDescent="0.35">
      <c r="A119" s="8" t="s">
        <v>266</v>
      </c>
      <c r="B119" s="19">
        <v>17</v>
      </c>
      <c r="C119" s="19">
        <v>0</v>
      </c>
      <c r="D119" s="21">
        <f t="shared" si="3"/>
        <v>0</v>
      </c>
    </row>
    <row r="120" spans="1:4" x14ac:dyDescent="0.35">
      <c r="A120" s="8" t="s">
        <v>267</v>
      </c>
      <c r="B120" s="19">
        <v>50</v>
      </c>
      <c r="C120" s="19">
        <v>0</v>
      </c>
      <c r="D120" s="21">
        <f t="shared" si="3"/>
        <v>0</v>
      </c>
    </row>
    <row r="121" spans="1:4" x14ac:dyDescent="0.35">
      <c r="A121" s="8" t="s">
        <v>268</v>
      </c>
      <c r="B121" s="19">
        <v>1</v>
      </c>
      <c r="C121" s="19">
        <v>0</v>
      </c>
      <c r="D121" s="21">
        <f t="shared" si="3"/>
        <v>0</v>
      </c>
    </row>
    <row r="122" spans="1:4" x14ac:dyDescent="0.35">
      <c r="A122" s="8" t="s">
        <v>269</v>
      </c>
      <c r="B122" s="19">
        <v>5</v>
      </c>
      <c r="C122" s="19">
        <v>0</v>
      </c>
      <c r="D122" s="21">
        <f t="shared" si="3"/>
        <v>0</v>
      </c>
    </row>
    <row r="123" spans="1:4" x14ac:dyDescent="0.35">
      <c r="A123" s="8" t="s">
        <v>270</v>
      </c>
      <c r="B123" s="19">
        <v>18</v>
      </c>
      <c r="C123" s="19">
        <v>0</v>
      </c>
      <c r="D123" s="21">
        <f t="shared" si="3"/>
        <v>0</v>
      </c>
    </row>
    <row r="124" spans="1:4" x14ac:dyDescent="0.35">
      <c r="A124" s="8" t="s">
        <v>271</v>
      </c>
      <c r="B124" s="19">
        <v>15</v>
      </c>
      <c r="C124" s="19">
        <v>0</v>
      </c>
      <c r="D124" s="21">
        <f t="shared" si="3"/>
        <v>0</v>
      </c>
    </row>
    <row r="125" spans="1:4" x14ac:dyDescent="0.35">
      <c r="A125" s="8" t="s">
        <v>272</v>
      </c>
      <c r="B125" s="19">
        <v>8</v>
      </c>
      <c r="C125" s="19">
        <v>0</v>
      </c>
      <c r="D125" s="21">
        <f t="shared" si="3"/>
        <v>0</v>
      </c>
    </row>
    <row r="126" spans="1:4" x14ac:dyDescent="0.35">
      <c r="A126" s="8" t="s">
        <v>273</v>
      </c>
      <c r="B126" s="19">
        <v>66</v>
      </c>
      <c r="C126" s="19">
        <v>0</v>
      </c>
      <c r="D126" s="21">
        <f t="shared" si="3"/>
        <v>0</v>
      </c>
    </row>
    <row r="127" spans="1:4" x14ac:dyDescent="0.35">
      <c r="A127" s="8" t="s">
        <v>274</v>
      </c>
      <c r="B127" s="19">
        <v>6</v>
      </c>
      <c r="C127" s="19">
        <v>0</v>
      </c>
      <c r="D127" s="21">
        <f t="shared" si="3"/>
        <v>0</v>
      </c>
    </row>
    <row r="128" spans="1:4" x14ac:dyDescent="0.35">
      <c r="A128" s="8" t="s">
        <v>275</v>
      </c>
      <c r="B128" s="19">
        <v>135144</v>
      </c>
      <c r="C128" s="19">
        <v>686</v>
      </c>
      <c r="D128" s="21">
        <f t="shared" si="3"/>
        <v>5.0760670100041434E-3</v>
      </c>
    </row>
    <row r="129" spans="1:4" x14ac:dyDescent="0.35">
      <c r="A129" s="8" t="s">
        <v>276</v>
      </c>
      <c r="B129" s="19">
        <v>7</v>
      </c>
      <c r="C129" s="19">
        <v>0</v>
      </c>
      <c r="D129" s="21">
        <f t="shared" si="3"/>
        <v>0</v>
      </c>
    </row>
    <row r="130" spans="1:4" x14ac:dyDescent="0.35">
      <c r="A130" s="8" t="s">
        <v>277</v>
      </c>
      <c r="B130" s="19">
        <v>196</v>
      </c>
      <c r="C130" s="19">
        <v>0</v>
      </c>
      <c r="D130" s="21">
        <f t="shared" ref="D130:D160" si="4">C130/B130</f>
        <v>0</v>
      </c>
    </row>
    <row r="131" spans="1:4" x14ac:dyDescent="0.35">
      <c r="A131" s="8" t="s">
        <v>278</v>
      </c>
      <c r="B131" s="19">
        <v>230</v>
      </c>
      <c r="C131" s="19">
        <v>1</v>
      </c>
      <c r="D131" s="21">
        <f t="shared" si="4"/>
        <v>4.3478260869565218E-3</v>
      </c>
    </row>
    <row r="132" spans="1:4" x14ac:dyDescent="0.35">
      <c r="A132" s="8" t="s">
        <v>279</v>
      </c>
      <c r="B132" s="19">
        <v>14</v>
      </c>
      <c r="C132" s="19">
        <v>0</v>
      </c>
      <c r="D132" s="21">
        <f t="shared" si="4"/>
        <v>0</v>
      </c>
    </row>
    <row r="133" spans="1:4" x14ac:dyDescent="0.35">
      <c r="A133" s="8" t="s">
        <v>280</v>
      </c>
      <c r="B133" s="19">
        <v>12</v>
      </c>
      <c r="C133" s="19">
        <v>0</v>
      </c>
      <c r="D133" s="21">
        <f t="shared" si="4"/>
        <v>0</v>
      </c>
    </row>
    <row r="134" spans="1:4" x14ac:dyDescent="0.35">
      <c r="A134" s="8" t="s">
        <v>281</v>
      </c>
      <c r="B134" s="19">
        <v>30</v>
      </c>
      <c r="C134" s="19">
        <v>0</v>
      </c>
      <c r="D134" s="21">
        <f t="shared" si="4"/>
        <v>0</v>
      </c>
    </row>
    <row r="135" spans="1:4" x14ac:dyDescent="0.35">
      <c r="A135" s="8" t="s">
        <v>282</v>
      </c>
      <c r="B135" s="19">
        <v>4</v>
      </c>
      <c r="C135" s="19">
        <v>0</v>
      </c>
      <c r="D135" s="21">
        <f t="shared" si="4"/>
        <v>0</v>
      </c>
    </row>
    <row r="136" spans="1:4" x14ac:dyDescent="0.35">
      <c r="A136" s="8" t="s">
        <v>283</v>
      </c>
      <c r="B136" s="19">
        <v>4</v>
      </c>
      <c r="C136" s="19">
        <v>0</v>
      </c>
      <c r="D136" s="21">
        <f t="shared" si="4"/>
        <v>0</v>
      </c>
    </row>
    <row r="137" spans="1:4" x14ac:dyDescent="0.35">
      <c r="A137" s="8" t="s">
        <v>284</v>
      </c>
      <c r="B137" s="19">
        <v>40</v>
      </c>
      <c r="C137" s="19">
        <v>0</v>
      </c>
      <c r="D137" s="21">
        <f t="shared" si="4"/>
        <v>0</v>
      </c>
    </row>
    <row r="138" spans="1:4" x14ac:dyDescent="0.35">
      <c r="A138" s="8" t="s">
        <v>285</v>
      </c>
      <c r="B138" s="19">
        <v>175</v>
      </c>
      <c r="C138" s="19">
        <v>0</v>
      </c>
      <c r="D138" s="21">
        <f t="shared" si="4"/>
        <v>0</v>
      </c>
    </row>
    <row r="139" spans="1:4" x14ac:dyDescent="0.35">
      <c r="A139" s="8" t="s">
        <v>286</v>
      </c>
      <c r="B139" s="19">
        <v>4</v>
      </c>
      <c r="C139" s="19">
        <v>0</v>
      </c>
      <c r="D139" s="21">
        <f t="shared" si="4"/>
        <v>0</v>
      </c>
    </row>
    <row r="140" spans="1:4" x14ac:dyDescent="0.35">
      <c r="A140" s="8" t="s">
        <v>287</v>
      </c>
      <c r="B140" s="19">
        <v>140</v>
      </c>
      <c r="C140" s="19">
        <v>0</v>
      </c>
      <c r="D140" s="21">
        <f t="shared" si="4"/>
        <v>0</v>
      </c>
    </row>
    <row r="141" spans="1:4" x14ac:dyDescent="0.35">
      <c r="A141" s="8" t="s">
        <v>288</v>
      </c>
      <c r="B141" s="19">
        <v>38</v>
      </c>
      <c r="C141" s="19">
        <v>0</v>
      </c>
      <c r="D141" s="21">
        <f t="shared" si="4"/>
        <v>0</v>
      </c>
    </row>
    <row r="142" spans="1:4" x14ac:dyDescent="0.35">
      <c r="A142" s="8" t="s">
        <v>289</v>
      </c>
      <c r="B142" s="19">
        <v>16</v>
      </c>
      <c r="C142" s="19">
        <v>0</v>
      </c>
      <c r="D142" s="21">
        <f t="shared" si="4"/>
        <v>0</v>
      </c>
    </row>
    <row r="143" spans="1:4" x14ac:dyDescent="0.35">
      <c r="A143" s="8" t="s">
        <v>290</v>
      </c>
      <c r="B143" s="19">
        <v>18</v>
      </c>
      <c r="C143" s="19">
        <v>0</v>
      </c>
      <c r="D143" s="21">
        <f t="shared" si="4"/>
        <v>0</v>
      </c>
    </row>
    <row r="144" spans="1:4" x14ac:dyDescent="0.35">
      <c r="A144" s="8" t="s">
        <v>291</v>
      </c>
      <c r="B144" s="19">
        <v>11</v>
      </c>
      <c r="C144" s="19">
        <v>0</v>
      </c>
      <c r="D144" s="21">
        <f t="shared" si="4"/>
        <v>0</v>
      </c>
    </row>
    <row r="145" spans="1:4" x14ac:dyDescent="0.35">
      <c r="A145" s="8" t="s">
        <v>292</v>
      </c>
      <c r="B145" s="19">
        <v>205</v>
      </c>
      <c r="C145" s="19">
        <v>0</v>
      </c>
      <c r="D145" s="21">
        <f t="shared" si="4"/>
        <v>0</v>
      </c>
    </row>
    <row r="146" spans="1:4" x14ac:dyDescent="0.35">
      <c r="A146" s="8" t="s">
        <v>293</v>
      </c>
      <c r="B146" s="19">
        <v>16</v>
      </c>
      <c r="C146" s="19">
        <v>0</v>
      </c>
      <c r="D146" s="21">
        <f t="shared" si="4"/>
        <v>0</v>
      </c>
    </row>
    <row r="147" spans="1:4" x14ac:dyDescent="0.35">
      <c r="A147" s="8" t="s">
        <v>294</v>
      </c>
      <c r="B147" s="19">
        <v>1</v>
      </c>
      <c r="C147" s="19">
        <v>0</v>
      </c>
      <c r="D147" s="21">
        <f t="shared" si="4"/>
        <v>0</v>
      </c>
    </row>
    <row r="148" spans="1:4" x14ac:dyDescent="0.35">
      <c r="A148" s="8" t="s">
        <v>295</v>
      </c>
      <c r="B148" s="19">
        <v>1</v>
      </c>
      <c r="C148" s="19">
        <v>0</v>
      </c>
      <c r="D148" s="21">
        <f t="shared" si="4"/>
        <v>0</v>
      </c>
    </row>
    <row r="149" spans="1:4" x14ac:dyDescent="0.35">
      <c r="A149" s="8" t="s">
        <v>296</v>
      </c>
      <c r="B149" s="19">
        <v>6</v>
      </c>
      <c r="C149" s="19">
        <v>0</v>
      </c>
      <c r="D149" s="21">
        <f t="shared" si="4"/>
        <v>0</v>
      </c>
    </row>
    <row r="150" spans="1:4" x14ac:dyDescent="0.35">
      <c r="A150" s="8" t="s">
        <v>297</v>
      </c>
      <c r="B150" s="19">
        <v>14</v>
      </c>
      <c r="C150" s="19">
        <v>0</v>
      </c>
      <c r="D150" s="21">
        <f t="shared" si="4"/>
        <v>0</v>
      </c>
    </row>
    <row r="151" spans="1:4" x14ac:dyDescent="0.35">
      <c r="A151" s="8" t="s">
        <v>298</v>
      </c>
      <c r="B151" s="19">
        <v>4</v>
      </c>
      <c r="C151" s="19">
        <v>0</v>
      </c>
      <c r="D151" s="21">
        <f t="shared" si="4"/>
        <v>0</v>
      </c>
    </row>
    <row r="152" spans="1:4" x14ac:dyDescent="0.35">
      <c r="A152" s="8" t="s">
        <v>299</v>
      </c>
      <c r="B152" s="19">
        <v>2279</v>
      </c>
      <c r="C152" s="19">
        <v>12</v>
      </c>
      <c r="D152" s="21">
        <f t="shared" si="4"/>
        <v>5.2654673102237827E-3</v>
      </c>
    </row>
    <row r="153" spans="1:4" x14ac:dyDescent="0.35">
      <c r="A153" s="8" t="s">
        <v>300</v>
      </c>
      <c r="B153" s="19">
        <v>30</v>
      </c>
      <c r="C153" s="19">
        <v>0</v>
      </c>
      <c r="D153" s="21">
        <f t="shared" si="4"/>
        <v>0</v>
      </c>
    </row>
    <row r="154" spans="1:4" x14ac:dyDescent="0.35">
      <c r="A154" s="8" t="s">
        <v>301</v>
      </c>
      <c r="B154" s="19">
        <v>2</v>
      </c>
      <c r="C154" s="19">
        <v>0</v>
      </c>
      <c r="D154" s="21">
        <f t="shared" si="4"/>
        <v>0</v>
      </c>
    </row>
    <row r="155" spans="1:4" x14ac:dyDescent="0.35">
      <c r="A155" s="8" t="s">
        <v>302</v>
      </c>
      <c r="B155" s="19">
        <v>25</v>
      </c>
      <c r="C155" s="19">
        <v>0</v>
      </c>
      <c r="D155" s="21">
        <f t="shared" si="4"/>
        <v>0</v>
      </c>
    </row>
    <row r="156" spans="1:4" x14ac:dyDescent="0.35">
      <c r="A156" s="8" t="s">
        <v>303</v>
      </c>
      <c r="B156" s="19">
        <v>9</v>
      </c>
      <c r="C156" s="19">
        <v>0</v>
      </c>
      <c r="D156" s="21">
        <f t="shared" si="4"/>
        <v>0</v>
      </c>
    </row>
    <row r="157" spans="1:4" x14ac:dyDescent="0.35">
      <c r="A157" s="8" t="s">
        <v>304</v>
      </c>
      <c r="B157" s="19">
        <v>39</v>
      </c>
      <c r="C157" s="19">
        <v>0</v>
      </c>
      <c r="D157" s="21">
        <f t="shared" si="4"/>
        <v>0</v>
      </c>
    </row>
    <row r="158" spans="1:4" x14ac:dyDescent="0.35">
      <c r="A158" s="8" t="s">
        <v>305</v>
      </c>
      <c r="B158" s="19">
        <v>1</v>
      </c>
      <c r="C158" s="19">
        <v>0</v>
      </c>
      <c r="D158" s="21">
        <f t="shared" si="4"/>
        <v>0</v>
      </c>
    </row>
    <row r="159" spans="1:4" x14ac:dyDescent="0.35">
      <c r="A159" s="8" t="s">
        <v>306</v>
      </c>
      <c r="B159" s="19">
        <v>178</v>
      </c>
      <c r="C159" s="19">
        <v>0</v>
      </c>
      <c r="D159" s="21">
        <f t="shared" si="4"/>
        <v>0</v>
      </c>
    </row>
    <row r="160" spans="1:4" x14ac:dyDescent="0.35">
      <c r="A160" s="4" t="s">
        <v>7</v>
      </c>
      <c r="B160" s="5">
        <f>SUM(B2:B159)</f>
        <v>150020</v>
      </c>
      <c r="C160" s="5">
        <f>SUM(C2:C159)</f>
        <v>727</v>
      </c>
      <c r="D160" s="6">
        <f t="shared" si="4"/>
        <v>4.8460205305959209E-3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17" sqref="C17"/>
    </sheetView>
  </sheetViews>
  <sheetFormatPr defaultRowHeight="14.5" x14ac:dyDescent="0.35"/>
  <cols>
    <col min="1" max="1" width="10.7265625" bestFit="1" customWidth="1"/>
    <col min="2" max="2" width="10.90625" bestFit="1" customWidth="1"/>
    <col min="3" max="3" width="5.453125" bestFit="1" customWidth="1"/>
    <col min="4" max="4" width="13.90625" bestFit="1" customWidth="1"/>
  </cols>
  <sheetData>
    <row r="1" spans="1:4" x14ac:dyDescent="0.35">
      <c r="A1" s="11" t="s">
        <v>14</v>
      </c>
      <c r="B1" s="1" t="s">
        <v>1</v>
      </c>
      <c r="C1" s="2" t="s">
        <v>2</v>
      </c>
      <c r="D1" s="2" t="s">
        <v>3</v>
      </c>
    </row>
    <row r="2" spans="1:4" x14ac:dyDescent="0.35">
      <c r="A2" s="9" t="s">
        <v>15</v>
      </c>
      <c r="B2" s="9">
        <v>36291</v>
      </c>
      <c r="C2" s="9">
        <v>177</v>
      </c>
      <c r="D2" s="15">
        <f>C2/B2</f>
        <v>4.8772422914772256E-3</v>
      </c>
    </row>
    <row r="3" spans="1:4" x14ac:dyDescent="0.35">
      <c r="A3" s="9" t="s">
        <v>16</v>
      </c>
      <c r="B3" s="9">
        <v>51577</v>
      </c>
      <c r="C3" s="9">
        <v>232</v>
      </c>
      <c r="D3" s="15">
        <f t="shared" ref="D3:D5" si="0">C3/B3</f>
        <v>4.4981290109932723E-3</v>
      </c>
    </row>
    <row r="4" spans="1:4" x14ac:dyDescent="0.35">
      <c r="A4" s="9" t="s">
        <v>17</v>
      </c>
      <c r="B4" s="9">
        <v>46893</v>
      </c>
      <c r="C4" s="9">
        <v>245</v>
      </c>
      <c r="D4" s="15">
        <f t="shared" si="0"/>
        <v>5.2246603970741903E-3</v>
      </c>
    </row>
    <row r="5" spans="1:4" x14ac:dyDescent="0.35">
      <c r="A5" s="9" t="s">
        <v>18</v>
      </c>
      <c r="B5" s="9">
        <v>15259</v>
      </c>
      <c r="C5" s="9">
        <v>73</v>
      </c>
      <c r="D5" s="15">
        <f t="shared" si="0"/>
        <v>4.7840618651287768E-3</v>
      </c>
    </row>
    <row r="6" spans="1:4" x14ac:dyDescent="0.35">
      <c r="A6" s="4" t="s">
        <v>7</v>
      </c>
      <c r="B6" s="5">
        <f>SUM(B2:B5)</f>
        <v>150020</v>
      </c>
      <c r="C6" s="5">
        <f>SUM(C2:C5)</f>
        <v>727</v>
      </c>
      <c r="D6" s="6">
        <f>C6/B6</f>
        <v>4.8460205305959209E-3</v>
      </c>
    </row>
  </sheetData>
  <conditionalFormatting sqref="A6">
    <cfRule type="duplicateValues" dxfId="3" priority="1"/>
  </conditionalFormatting>
  <conditionalFormatting sqref="A6">
    <cfRule type="duplicateValues" dxfId="2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16" sqref="B16"/>
    </sheetView>
  </sheetViews>
  <sheetFormatPr defaultRowHeight="14.5" x14ac:dyDescent="0.35"/>
  <cols>
    <col min="1" max="1" width="10.7265625" bestFit="1" customWidth="1"/>
    <col min="2" max="2" width="10.90625" bestFit="1" customWidth="1"/>
    <col min="4" max="4" width="13.90625" bestFit="1" customWidth="1"/>
  </cols>
  <sheetData>
    <row r="1" spans="1:4" x14ac:dyDescent="0.35">
      <c r="A1" s="11" t="s">
        <v>19</v>
      </c>
      <c r="B1" s="1" t="s">
        <v>1</v>
      </c>
      <c r="C1" s="2" t="s">
        <v>2</v>
      </c>
      <c r="D1" s="2" t="s">
        <v>3</v>
      </c>
    </row>
    <row r="2" spans="1:4" x14ac:dyDescent="0.35">
      <c r="A2" s="9" t="s">
        <v>20</v>
      </c>
      <c r="B2" s="9">
        <v>96523</v>
      </c>
      <c r="C2" s="9">
        <v>453</v>
      </c>
      <c r="D2" s="15">
        <f>C2/B2</f>
        <v>4.6931819359116479E-3</v>
      </c>
    </row>
    <row r="3" spans="1:4" x14ac:dyDescent="0.35">
      <c r="A3" s="9" t="s">
        <v>21</v>
      </c>
      <c r="B3" s="9">
        <v>53497</v>
      </c>
      <c r="C3" s="9">
        <v>274</v>
      </c>
      <c r="D3" s="15">
        <f>C3/B3</f>
        <v>5.1217825298614872E-3</v>
      </c>
    </row>
    <row r="4" spans="1:4" x14ac:dyDescent="0.35">
      <c r="A4" s="4" t="s">
        <v>7</v>
      </c>
      <c r="B4" s="5">
        <f>SUM(B2:B3)</f>
        <v>150020</v>
      </c>
      <c r="C4" s="5">
        <f>SUM(C2:C3)</f>
        <v>727</v>
      </c>
      <c r="D4" s="6">
        <f>C4/B4</f>
        <v>4.8460205305959209E-3</v>
      </c>
    </row>
  </sheetData>
  <conditionalFormatting sqref="A4">
    <cfRule type="duplicateValues" dxfId="1" priority="1"/>
  </conditionalFormatting>
  <conditionalFormatting sqref="A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REACH</vt:lpstr>
      <vt:lpstr>DATE</vt:lpstr>
      <vt:lpstr>APP URL</vt:lpstr>
      <vt:lpstr>TIME OF DAY</vt:lpstr>
      <vt:lpstr>EXCHANGE</vt:lpstr>
      <vt:lpstr>DEVICE</vt:lpstr>
      <vt:lpstr>CREATIVE</vt:lpstr>
      <vt:lpstr>CITY</vt:lpstr>
      <vt:lpstr>AGE</vt:lpstr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2025-12-16T10:59:24Z</dcterms:modified>
</cp:coreProperties>
</file>